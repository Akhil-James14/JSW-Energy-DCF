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627616-B1F4-43D0-B89F-11C6BA5C45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venue Build" sheetId="2" r:id="rId1"/>
    <sheet name="Capex Projection" sheetId="9" r:id="rId2"/>
    <sheet name="Depreciation Schedule" sheetId="3" r:id="rId3"/>
    <sheet name="Price Data" sheetId="12" r:id="rId4"/>
    <sheet name="Returns &amp; Deviations" sheetId="10" r:id="rId5"/>
    <sheet name="Beta Calculation" sheetId="11" r:id="rId6"/>
    <sheet name="WACC Build" sheetId="5" r:id="rId7"/>
    <sheet name="FCFF Projection" sheetId="4" r:id="rId8"/>
    <sheet name="DCF Valuation" sheetId="7" r:id="rId9"/>
  </sheets>
  <externalReferences>
    <externalReference r:id="rId10"/>
  </externalReferenc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0" l="1"/>
  <c r="C7" i="10"/>
  <c r="C5" i="11" s="1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B152" i="10"/>
  <c r="C152" i="10"/>
  <c r="B153" i="10"/>
  <c r="C153" i="10"/>
  <c r="B154" i="10"/>
  <c r="C154" i="10"/>
  <c r="B155" i="10"/>
  <c r="C155" i="10"/>
  <c r="B156" i="10"/>
  <c r="C156" i="10"/>
  <c r="B157" i="10"/>
  <c r="C157" i="10"/>
  <c r="B158" i="10"/>
  <c r="C158" i="10"/>
  <c r="B159" i="10"/>
  <c r="C159" i="10"/>
  <c r="B160" i="10"/>
  <c r="C160" i="10"/>
  <c r="B161" i="10"/>
  <c r="C161" i="10"/>
  <c r="B162" i="10"/>
  <c r="C162" i="10"/>
  <c r="B163" i="10"/>
  <c r="C163" i="10"/>
  <c r="B164" i="10"/>
  <c r="C164" i="10"/>
  <c r="B165" i="10"/>
  <c r="C165" i="10"/>
  <c r="B166" i="10"/>
  <c r="C166" i="10"/>
  <c r="B167" i="10"/>
  <c r="C167" i="10"/>
  <c r="B168" i="10"/>
  <c r="C168" i="10"/>
  <c r="B169" i="10"/>
  <c r="C169" i="10"/>
  <c r="B170" i="10"/>
  <c r="C170" i="10"/>
  <c r="B171" i="10"/>
  <c r="C171" i="10"/>
  <c r="B172" i="10"/>
  <c r="C172" i="10"/>
  <c r="B173" i="10"/>
  <c r="C173" i="10"/>
  <c r="B174" i="10"/>
  <c r="C174" i="10"/>
  <c r="B175" i="10"/>
  <c r="C175" i="10"/>
  <c r="B176" i="10"/>
  <c r="C176" i="10"/>
  <c r="B177" i="10"/>
  <c r="C177" i="10"/>
  <c r="B178" i="10"/>
  <c r="C178" i="10"/>
  <c r="B179" i="10"/>
  <c r="C179" i="10"/>
  <c r="B180" i="10"/>
  <c r="C180" i="10"/>
  <c r="B181" i="10"/>
  <c r="C181" i="10"/>
  <c r="B182" i="10"/>
  <c r="C182" i="10"/>
  <c r="B183" i="10"/>
  <c r="C183" i="10"/>
  <c r="B184" i="10"/>
  <c r="C184" i="10"/>
  <c r="B185" i="10"/>
  <c r="C185" i="10"/>
  <c r="B186" i="10"/>
  <c r="C186" i="10"/>
  <c r="B187" i="10"/>
  <c r="C187" i="10"/>
  <c r="B188" i="10"/>
  <c r="C188" i="10"/>
  <c r="B189" i="10"/>
  <c r="C189" i="10"/>
  <c r="B190" i="10"/>
  <c r="C190" i="10"/>
  <c r="B191" i="10"/>
  <c r="C191" i="10"/>
  <c r="B192" i="10"/>
  <c r="C192" i="10"/>
  <c r="B193" i="10"/>
  <c r="C193" i="10"/>
  <c r="B194" i="10"/>
  <c r="C194" i="10"/>
  <c r="B195" i="10"/>
  <c r="C195" i="10"/>
  <c r="B196" i="10"/>
  <c r="C196" i="10"/>
  <c r="B197" i="10"/>
  <c r="C197" i="10"/>
  <c r="B198" i="10"/>
  <c r="C198" i="10"/>
  <c r="B199" i="10"/>
  <c r="C199" i="10"/>
  <c r="B200" i="10"/>
  <c r="C200" i="10"/>
  <c r="B201" i="10"/>
  <c r="C201" i="10"/>
  <c r="B202" i="10"/>
  <c r="C202" i="10"/>
  <c r="B203" i="10"/>
  <c r="C203" i="10"/>
  <c r="B204" i="10"/>
  <c r="C204" i="10"/>
  <c r="B205" i="10"/>
  <c r="C205" i="10"/>
  <c r="B206" i="10"/>
  <c r="C206" i="10"/>
  <c r="B207" i="10"/>
  <c r="C207" i="10"/>
  <c r="B208" i="10"/>
  <c r="C208" i="10"/>
  <c r="B209" i="10"/>
  <c r="C209" i="10"/>
  <c r="B210" i="10"/>
  <c r="C210" i="10"/>
  <c r="B211" i="10"/>
  <c r="C211" i="10"/>
  <c r="B212" i="10"/>
  <c r="C212" i="10"/>
  <c r="B213" i="10"/>
  <c r="C213" i="10"/>
  <c r="B214" i="10"/>
  <c r="C214" i="10"/>
  <c r="B215" i="10"/>
  <c r="C215" i="10"/>
  <c r="B216" i="10"/>
  <c r="C216" i="10"/>
  <c r="B217" i="10"/>
  <c r="C217" i="10"/>
  <c r="B218" i="10"/>
  <c r="C218" i="10"/>
  <c r="B219" i="10"/>
  <c r="C219" i="10"/>
  <c r="B220" i="10"/>
  <c r="C220" i="10"/>
  <c r="B221" i="10"/>
  <c r="C221" i="10"/>
  <c r="B222" i="10"/>
  <c r="C222" i="10"/>
  <c r="B223" i="10"/>
  <c r="C223" i="10"/>
  <c r="B224" i="10"/>
  <c r="C224" i="10"/>
  <c r="B225" i="10"/>
  <c r="C225" i="10"/>
  <c r="B226" i="10"/>
  <c r="C226" i="10"/>
  <c r="B227" i="10"/>
  <c r="C227" i="10"/>
  <c r="B228" i="10"/>
  <c r="C228" i="10"/>
  <c r="B229" i="10"/>
  <c r="C229" i="10"/>
  <c r="B230" i="10"/>
  <c r="C230" i="10"/>
  <c r="B231" i="10"/>
  <c r="C231" i="10"/>
  <c r="B232" i="10"/>
  <c r="C232" i="10"/>
  <c r="B233" i="10"/>
  <c r="C233" i="10"/>
  <c r="B234" i="10"/>
  <c r="C234" i="10"/>
  <c r="B235" i="10"/>
  <c r="C235" i="10"/>
  <c r="B236" i="10"/>
  <c r="C236" i="10"/>
  <c r="B237" i="10"/>
  <c r="C237" i="10"/>
  <c r="B238" i="10"/>
  <c r="C238" i="10"/>
  <c r="B239" i="10"/>
  <c r="C239" i="10"/>
  <c r="B240" i="10"/>
  <c r="C240" i="10"/>
  <c r="B241" i="10"/>
  <c r="C241" i="10"/>
  <c r="B242" i="10"/>
  <c r="C242" i="10"/>
  <c r="B243" i="10"/>
  <c r="C243" i="10"/>
  <c r="B244" i="10"/>
  <c r="C244" i="10"/>
  <c r="B245" i="10"/>
  <c r="C245" i="10"/>
  <c r="B246" i="10"/>
  <c r="C246" i="10"/>
  <c r="B247" i="10"/>
  <c r="C247" i="10"/>
  <c r="B248" i="10"/>
  <c r="C248" i="10"/>
  <c r="B249" i="10"/>
  <c r="C249" i="10"/>
  <c r="B250" i="10"/>
  <c r="C250" i="10"/>
  <c r="B251" i="10"/>
  <c r="C251" i="10"/>
  <c r="B252" i="10"/>
  <c r="C252" i="10"/>
  <c r="D15" i="9"/>
  <c r="E15" i="9"/>
  <c r="C15" i="9"/>
  <c r="C28" i="9"/>
  <c r="D6" i="3" s="1"/>
  <c r="D9" i="3" s="1"/>
  <c r="E7" i="3" s="1"/>
  <c r="C23" i="9"/>
  <c r="C21" i="9"/>
  <c r="D16" i="9"/>
  <c r="D17" i="9" s="1"/>
  <c r="E28" i="9" s="1"/>
  <c r="F6" i="3" s="1"/>
  <c r="F15" i="4" s="1"/>
  <c r="C7" i="9"/>
  <c r="C11" i="9" s="1"/>
  <c r="C12" i="5"/>
  <c r="C15" i="5"/>
  <c r="E5" i="2"/>
  <c r="F5" i="2"/>
  <c r="G5" i="2"/>
  <c r="H5" i="2"/>
  <c r="D5" i="2"/>
  <c r="E6" i="2" s="1"/>
  <c r="E7" i="2" s="1"/>
  <c r="E6" i="4" s="1"/>
  <c r="D8" i="3"/>
  <c r="D9" i="4" s="1"/>
  <c r="D14" i="4" s="1"/>
  <c r="H6" i="2"/>
  <c r="G6" i="2"/>
  <c r="G7" i="2" s="1"/>
  <c r="G6" i="4" s="1"/>
  <c r="F6" i="2"/>
  <c r="D6" i="2"/>
  <c r="D7" i="2" s="1"/>
  <c r="C4" i="11" l="1"/>
  <c r="C6" i="11" s="1"/>
  <c r="C8" i="5" s="1"/>
  <c r="C17" i="5" s="1"/>
  <c r="C4" i="7" s="1"/>
  <c r="E9" i="7" s="1"/>
  <c r="E214" i="10"/>
  <c r="G214" i="10" s="1"/>
  <c r="D204" i="10"/>
  <c r="C16" i="9"/>
  <c r="C17" i="9" s="1"/>
  <c r="E16" i="9"/>
  <c r="E17" i="9" s="1"/>
  <c r="F28" i="9" s="1"/>
  <c r="G6" i="3" s="1"/>
  <c r="G15" i="4" s="1"/>
  <c r="D28" i="9"/>
  <c r="E6" i="3" s="1"/>
  <c r="E15" i="4" s="1"/>
  <c r="D15" i="4"/>
  <c r="H7" i="2"/>
  <c r="H6" i="4" s="1"/>
  <c r="F7" i="2"/>
  <c r="F6" i="4" s="1"/>
  <c r="E8" i="3"/>
  <c r="E9" i="4" s="1"/>
  <c r="E14" i="4" s="1"/>
  <c r="D6" i="4"/>
  <c r="D8" i="2"/>
  <c r="G9" i="7" l="1"/>
  <c r="D9" i="7"/>
  <c r="C9" i="7"/>
  <c r="F9" i="7"/>
  <c r="E129" i="10"/>
  <c r="G129" i="10" s="1"/>
  <c r="D179" i="10"/>
  <c r="E93" i="10"/>
  <c r="G93" i="10" s="1"/>
  <c r="E187" i="10"/>
  <c r="G187" i="10" s="1"/>
  <c r="D9" i="10"/>
  <c r="E89" i="10"/>
  <c r="G89" i="10" s="1"/>
  <c r="E44" i="10"/>
  <c r="G44" i="10" s="1"/>
  <c r="D211" i="10"/>
  <c r="F211" i="10" s="1"/>
  <c r="D195" i="10"/>
  <c r="E222" i="10"/>
  <c r="G222" i="10" s="1"/>
  <c r="D159" i="10"/>
  <c r="D161" i="10"/>
  <c r="E34" i="10"/>
  <c r="G34" i="10" s="1"/>
  <c r="E137" i="10"/>
  <c r="G137" i="10" s="1"/>
  <c r="D192" i="10"/>
  <c r="E32" i="10"/>
  <c r="G32" i="10" s="1"/>
  <c r="E88" i="10"/>
  <c r="G88" i="10" s="1"/>
  <c r="D35" i="10"/>
  <c r="F35" i="10" s="1"/>
  <c r="D109" i="10"/>
  <c r="E155" i="10"/>
  <c r="G155" i="10" s="1"/>
  <c r="E220" i="10"/>
  <c r="G220" i="10" s="1"/>
  <c r="D55" i="10"/>
  <c r="D47" i="10"/>
  <c r="D13" i="10"/>
  <c r="D245" i="10"/>
  <c r="D57" i="10"/>
  <c r="F57" i="10" s="1"/>
  <c r="D81" i="10"/>
  <c r="E100" i="10"/>
  <c r="G100" i="10" s="1"/>
  <c r="D69" i="10"/>
  <c r="D135" i="10"/>
  <c r="E58" i="10"/>
  <c r="G58" i="10" s="1"/>
  <c r="D178" i="10"/>
  <c r="E186" i="10"/>
  <c r="G186" i="10" s="1"/>
  <c r="D103" i="10"/>
  <c r="D115" i="10"/>
  <c r="F115" i="10" s="1"/>
  <c r="D149" i="10"/>
  <c r="D171" i="10"/>
  <c r="E94" i="10"/>
  <c r="G94" i="10" s="1"/>
  <c r="E242" i="10"/>
  <c r="G242" i="10" s="1"/>
  <c r="D157" i="10"/>
  <c r="F157" i="10" s="1"/>
  <c r="D117" i="10"/>
  <c r="E97" i="10"/>
  <c r="G97" i="10" s="1"/>
  <c r="D91" i="10"/>
  <c r="D212" i="10"/>
  <c r="D240" i="10"/>
  <c r="D39" i="10"/>
  <c r="E84" i="10"/>
  <c r="G84" i="10" s="1"/>
  <c r="D127" i="10"/>
  <c r="E16" i="10"/>
  <c r="G16" i="10" s="1"/>
  <c r="D53" i="10"/>
  <c r="D99" i="10"/>
  <c r="D131" i="10"/>
  <c r="E28" i="10"/>
  <c r="G28" i="10" s="1"/>
  <c r="D65" i="10"/>
  <c r="D111" i="10"/>
  <c r="D173" i="10"/>
  <c r="D7" i="10"/>
  <c r="D41" i="10"/>
  <c r="D87" i="10"/>
  <c r="D141" i="10"/>
  <c r="E57" i="10"/>
  <c r="G57" i="10" s="1"/>
  <c r="D19" i="10"/>
  <c r="E64" i="10"/>
  <c r="G64" i="10" s="1"/>
  <c r="D101" i="10"/>
  <c r="D145" i="10"/>
  <c r="E101" i="10"/>
  <c r="G101" i="10" s="1"/>
  <c r="D31" i="10"/>
  <c r="E76" i="10"/>
  <c r="G76" i="10" s="1"/>
  <c r="D113" i="10"/>
  <c r="E65" i="10"/>
  <c r="G65" i="10" s="1"/>
  <c r="E10" i="10"/>
  <c r="G10" i="10" s="1"/>
  <c r="E153" i="10"/>
  <c r="G153" i="10" s="1"/>
  <c r="D45" i="10"/>
  <c r="E18" i="10"/>
  <c r="G18" i="10" s="1"/>
  <c r="E161" i="10"/>
  <c r="G161" i="10" s="1"/>
  <c r="D182" i="10"/>
  <c r="D93" i="10"/>
  <c r="F93" i="10" s="1"/>
  <c r="E46" i="10"/>
  <c r="G46" i="10" s="1"/>
  <c r="D169" i="10"/>
  <c r="E138" i="10"/>
  <c r="G138" i="10" s="1"/>
  <c r="E50" i="10"/>
  <c r="G50" i="10" s="1"/>
  <c r="D27" i="10"/>
  <c r="D238" i="10"/>
  <c r="E226" i="10"/>
  <c r="G226" i="10" s="1"/>
  <c r="D188" i="10"/>
  <c r="E216" i="10"/>
  <c r="G216" i="10" s="1"/>
  <c r="E210" i="10"/>
  <c r="G210" i="10" s="1"/>
  <c r="E252" i="10"/>
  <c r="G252" i="10" s="1"/>
  <c r="D250" i="10"/>
  <c r="E106" i="10"/>
  <c r="G106" i="10" s="1"/>
  <c r="D8" i="10"/>
  <c r="D12" i="10"/>
  <c r="D16" i="10"/>
  <c r="D20" i="10"/>
  <c r="D24" i="10"/>
  <c r="D28" i="10"/>
  <c r="F28" i="10" s="1"/>
  <c r="D32" i="10"/>
  <c r="D36" i="10"/>
  <c r="D40" i="10"/>
  <c r="D44" i="10"/>
  <c r="F44" i="10" s="1"/>
  <c r="D48" i="10"/>
  <c r="D52" i="10"/>
  <c r="D56" i="10"/>
  <c r="D60" i="10"/>
  <c r="D64" i="10"/>
  <c r="D68" i="10"/>
  <c r="D72" i="10"/>
  <c r="D76" i="10"/>
  <c r="D80" i="10"/>
  <c r="D84" i="10"/>
  <c r="D88" i="10"/>
  <c r="F88" i="10" s="1"/>
  <c r="D92" i="10"/>
  <c r="D96" i="10"/>
  <c r="D100" i="10"/>
  <c r="D104" i="10"/>
  <c r="D108" i="10"/>
  <c r="D112" i="10"/>
  <c r="D116" i="10"/>
  <c r="D18" i="10"/>
  <c r="D34" i="10"/>
  <c r="F34" i="10" s="1"/>
  <c r="D50" i="10"/>
  <c r="F50" i="10" s="1"/>
  <c r="D66" i="10"/>
  <c r="F66" i="10" s="1"/>
  <c r="D82" i="10"/>
  <c r="D98" i="10"/>
  <c r="D114" i="10"/>
  <c r="D130" i="10"/>
  <c r="D146" i="10"/>
  <c r="D162" i="10"/>
  <c r="D170" i="10"/>
  <c r="D132" i="10"/>
  <c r="D14" i="10"/>
  <c r="D30" i="10"/>
  <c r="D46" i="10"/>
  <c r="D62" i="10"/>
  <c r="D78" i="10"/>
  <c r="D94" i="10"/>
  <c r="D110" i="10"/>
  <c r="D134" i="10"/>
  <c r="D150" i="10"/>
  <c r="D164" i="10"/>
  <c r="D172" i="10"/>
  <c r="D190" i="10"/>
  <c r="D194" i="10"/>
  <c r="D198" i="10"/>
  <c r="D202" i="10"/>
  <c r="D210" i="10"/>
  <c r="F210" i="10" s="1"/>
  <c r="D136" i="10"/>
  <c r="D10" i="10"/>
  <c r="F10" i="10" s="1"/>
  <c r="D26" i="10"/>
  <c r="D42" i="10"/>
  <c r="D58" i="10"/>
  <c r="F58" i="10" s="1"/>
  <c r="D74" i="10"/>
  <c r="D90" i="10"/>
  <c r="D106" i="10"/>
  <c r="F106" i="10" s="1"/>
  <c r="D138" i="10"/>
  <c r="D154" i="10"/>
  <c r="D166" i="10"/>
  <c r="D174" i="10"/>
  <c r="D177" i="10"/>
  <c r="D181" i="10"/>
  <c r="D140" i="10"/>
  <c r="D156" i="10"/>
  <c r="D54" i="10"/>
  <c r="D118" i="10"/>
  <c r="D142" i="10"/>
  <c r="D158" i="10"/>
  <c r="D144" i="10"/>
  <c r="D124" i="10"/>
  <c r="D148" i="10"/>
  <c r="D189" i="10"/>
  <c r="F189" i="10" s="1"/>
  <c r="D197" i="10"/>
  <c r="D205" i="10"/>
  <c r="D225" i="10"/>
  <c r="D248" i="10"/>
  <c r="D180" i="10"/>
  <c r="D227" i="10"/>
  <c r="D243" i="10"/>
  <c r="D251" i="10"/>
  <c r="D38" i="10"/>
  <c r="D102" i="10"/>
  <c r="D168" i="10"/>
  <c r="D213" i="10"/>
  <c r="D217" i="10"/>
  <c r="D221" i="10"/>
  <c r="D229" i="10"/>
  <c r="D152" i="10"/>
  <c r="D176" i="10"/>
  <c r="D219" i="10"/>
  <c r="D235" i="10"/>
  <c r="D239" i="10"/>
  <c r="D122" i="10"/>
  <c r="D224" i="10"/>
  <c r="D22" i="10"/>
  <c r="D86" i="10"/>
  <c r="D128" i="10"/>
  <c r="D244" i="10"/>
  <c r="D252" i="10"/>
  <c r="D185" i="10"/>
  <c r="D193" i="10"/>
  <c r="D201" i="10"/>
  <c r="D209" i="10"/>
  <c r="D70" i="10"/>
  <c r="D120" i="10"/>
  <c r="D126" i="10"/>
  <c r="D215" i="10"/>
  <c r="D223" i="10"/>
  <c r="D231" i="10"/>
  <c r="D247" i="10"/>
  <c r="D160" i="10"/>
  <c r="E52" i="10"/>
  <c r="G52" i="10" s="1"/>
  <c r="D89" i="10"/>
  <c r="F89" i="10" s="1"/>
  <c r="D143" i="10"/>
  <c r="E73" i="10"/>
  <c r="G73" i="10" s="1"/>
  <c r="D21" i="10"/>
  <c r="D67" i="10"/>
  <c r="E112" i="10"/>
  <c r="G112" i="10" s="1"/>
  <c r="D147" i="10"/>
  <c r="E117" i="10"/>
  <c r="G117" i="10" s="1"/>
  <c r="D33" i="10"/>
  <c r="D79" i="10"/>
  <c r="D133" i="10"/>
  <c r="E81" i="10"/>
  <c r="G81" i="10" s="1"/>
  <c r="E14" i="10"/>
  <c r="G14" i="10" s="1"/>
  <c r="D175" i="10"/>
  <c r="D75" i="10"/>
  <c r="E45" i="10"/>
  <c r="G45" i="10" s="1"/>
  <c r="E166" i="10"/>
  <c r="G166" i="10" s="1"/>
  <c r="E40" i="10"/>
  <c r="G40" i="10" s="1"/>
  <c r="E134" i="10"/>
  <c r="G134" i="10" s="1"/>
  <c r="E66" i="10"/>
  <c r="G66" i="10" s="1"/>
  <c r="E90" i="10"/>
  <c r="G90" i="10" s="1"/>
  <c r="E147" i="10"/>
  <c r="G147" i="10" s="1"/>
  <c r="E77" i="10"/>
  <c r="G77" i="10" s="1"/>
  <c r="E208" i="10"/>
  <c r="G208" i="10" s="1"/>
  <c r="E244" i="10"/>
  <c r="G244" i="10" s="1"/>
  <c r="D184" i="10"/>
  <c r="D216" i="10"/>
  <c r="F216" i="10" s="1"/>
  <c r="D226" i="10"/>
  <c r="D214" i="10"/>
  <c r="F214" i="10" s="1"/>
  <c r="E230" i="10"/>
  <c r="G230" i="10" s="1"/>
  <c r="D236" i="10"/>
  <c r="E116" i="10"/>
  <c r="G116" i="10" s="1"/>
  <c r="E120" i="10"/>
  <c r="G120" i="10" s="1"/>
  <c r="E124" i="10"/>
  <c r="G124" i="10" s="1"/>
  <c r="E11" i="10"/>
  <c r="G11" i="10" s="1"/>
  <c r="E27" i="10"/>
  <c r="G27" i="10" s="1"/>
  <c r="E43" i="10"/>
  <c r="G43" i="10" s="1"/>
  <c r="E59" i="10"/>
  <c r="G59" i="10" s="1"/>
  <c r="E75" i="10"/>
  <c r="G75" i="10" s="1"/>
  <c r="E91" i="10"/>
  <c r="G91" i="10" s="1"/>
  <c r="E107" i="10"/>
  <c r="G107" i="10" s="1"/>
  <c r="E128" i="10"/>
  <c r="G128" i="10" s="1"/>
  <c r="E144" i="10"/>
  <c r="G144" i="10" s="1"/>
  <c r="E160" i="10"/>
  <c r="G160" i="10" s="1"/>
  <c r="E7" i="10"/>
  <c r="G7" i="10" s="1"/>
  <c r="E23" i="10"/>
  <c r="G23" i="10" s="1"/>
  <c r="E39" i="10"/>
  <c r="G39" i="10" s="1"/>
  <c r="E55" i="10"/>
  <c r="G55" i="10" s="1"/>
  <c r="E71" i="10"/>
  <c r="G71" i="10" s="1"/>
  <c r="E87" i="10"/>
  <c r="G87" i="10" s="1"/>
  <c r="E103" i="10"/>
  <c r="G103" i="10" s="1"/>
  <c r="E119" i="10"/>
  <c r="G119" i="10" s="1"/>
  <c r="E123" i="10"/>
  <c r="G123" i="10" s="1"/>
  <c r="E127" i="10"/>
  <c r="G127" i="10" s="1"/>
  <c r="E132" i="10"/>
  <c r="G132" i="10" s="1"/>
  <c r="E148" i="10"/>
  <c r="G148" i="10" s="1"/>
  <c r="E19" i="10"/>
  <c r="G19" i="10" s="1"/>
  <c r="E35" i="10"/>
  <c r="G35" i="10" s="1"/>
  <c r="E51" i="10"/>
  <c r="G51" i="10" s="1"/>
  <c r="E67" i="10"/>
  <c r="G67" i="10" s="1"/>
  <c r="E83" i="10"/>
  <c r="G83" i="10" s="1"/>
  <c r="E99" i="10"/>
  <c r="G99" i="10" s="1"/>
  <c r="E115" i="10"/>
  <c r="G115" i="10" s="1"/>
  <c r="E136" i="10"/>
  <c r="G136" i="10" s="1"/>
  <c r="E152" i="10"/>
  <c r="G152" i="10" s="1"/>
  <c r="E163" i="10"/>
  <c r="G163" i="10" s="1"/>
  <c r="E171" i="10"/>
  <c r="G171" i="10" s="1"/>
  <c r="E126" i="10"/>
  <c r="G126" i="10" s="1"/>
  <c r="E31" i="10"/>
  <c r="G31" i="10" s="1"/>
  <c r="E54" i="10"/>
  <c r="G54" i="10" s="1"/>
  <c r="E95" i="10"/>
  <c r="G95" i="10" s="1"/>
  <c r="E118" i="10"/>
  <c r="G118" i="10" s="1"/>
  <c r="E142" i="10"/>
  <c r="G142" i="10" s="1"/>
  <c r="E156" i="10"/>
  <c r="G156" i="10" s="1"/>
  <c r="E158" i="10"/>
  <c r="G158" i="10" s="1"/>
  <c r="E201" i="10"/>
  <c r="G201" i="10" s="1"/>
  <c r="E209" i="10"/>
  <c r="G209" i="10" s="1"/>
  <c r="E180" i="10"/>
  <c r="G180" i="10" s="1"/>
  <c r="E140" i="10"/>
  <c r="G140" i="10" s="1"/>
  <c r="E151" i="10"/>
  <c r="G151" i="10" s="1"/>
  <c r="E175" i="10"/>
  <c r="G175" i="10" s="1"/>
  <c r="E179" i="10"/>
  <c r="G179" i="10" s="1"/>
  <c r="E189" i="10"/>
  <c r="G189" i="10" s="1"/>
  <c r="E197" i="10"/>
  <c r="G197" i="10" s="1"/>
  <c r="E205" i="10"/>
  <c r="G205" i="10" s="1"/>
  <c r="E193" i="10"/>
  <c r="G193" i="10" s="1"/>
  <c r="E111" i="10"/>
  <c r="G111" i="10" s="1"/>
  <c r="E165" i="10"/>
  <c r="G165" i="10" s="1"/>
  <c r="E15" i="10"/>
  <c r="G15" i="10" s="1"/>
  <c r="E38" i="10"/>
  <c r="G38" i="10" s="1"/>
  <c r="E79" i="10"/>
  <c r="G79" i="10" s="1"/>
  <c r="E102" i="10"/>
  <c r="G102" i="10" s="1"/>
  <c r="E168" i="10"/>
  <c r="G168" i="10" s="1"/>
  <c r="E213" i="10"/>
  <c r="G213" i="10" s="1"/>
  <c r="E217" i="10"/>
  <c r="G217" i="10" s="1"/>
  <c r="E221" i="10"/>
  <c r="G221" i="10" s="1"/>
  <c r="E225" i="10"/>
  <c r="G225" i="10" s="1"/>
  <c r="E229" i="10"/>
  <c r="G229" i="10" s="1"/>
  <c r="E233" i="10"/>
  <c r="G233" i="10" s="1"/>
  <c r="E237" i="10"/>
  <c r="G237" i="10" s="1"/>
  <c r="E241" i="10"/>
  <c r="G241" i="10" s="1"/>
  <c r="E245" i="10"/>
  <c r="G245" i="10" s="1"/>
  <c r="E249" i="10"/>
  <c r="G249" i="10" s="1"/>
  <c r="E122" i="10"/>
  <c r="G122" i="10" s="1"/>
  <c r="E164" i="10"/>
  <c r="G164" i="10" s="1"/>
  <c r="E183" i="10"/>
  <c r="G183" i="10" s="1"/>
  <c r="E191" i="10"/>
  <c r="G191" i="10" s="1"/>
  <c r="E199" i="10"/>
  <c r="G199" i="10" s="1"/>
  <c r="E207" i="10"/>
  <c r="G207" i="10" s="1"/>
  <c r="E169" i="10"/>
  <c r="G169" i="10" s="1"/>
  <c r="E185" i="10"/>
  <c r="G185" i="10" s="1"/>
  <c r="E212" i="10"/>
  <c r="G212" i="10" s="1"/>
  <c r="E178" i="10"/>
  <c r="G178" i="10" s="1"/>
  <c r="E22" i="10"/>
  <c r="G22" i="10" s="1"/>
  <c r="E63" i="10"/>
  <c r="G63" i="10" s="1"/>
  <c r="E86" i="10"/>
  <c r="G86" i="10" s="1"/>
  <c r="E135" i="10"/>
  <c r="G135" i="10" s="1"/>
  <c r="E167" i="10"/>
  <c r="G167" i="10" s="1"/>
  <c r="E47" i="10"/>
  <c r="G47" i="10" s="1"/>
  <c r="E70" i="10"/>
  <c r="G70" i="10" s="1"/>
  <c r="E176" i="10"/>
  <c r="G176" i="10" s="1"/>
  <c r="E190" i="10"/>
  <c r="G190" i="10" s="1"/>
  <c r="E247" i="10"/>
  <c r="G247" i="10" s="1"/>
  <c r="E219" i="10"/>
  <c r="G219" i="10" s="1"/>
  <c r="E215" i="10"/>
  <c r="G215" i="10" s="1"/>
  <c r="E231" i="10"/>
  <c r="G231" i="10" s="1"/>
  <c r="E235" i="10"/>
  <c r="G235" i="10" s="1"/>
  <c r="E198" i="10"/>
  <c r="G198" i="10" s="1"/>
  <c r="E251" i="10"/>
  <c r="G251" i="10" s="1"/>
  <c r="E206" i="10"/>
  <c r="G206" i="10" s="1"/>
  <c r="E223" i="10"/>
  <c r="G223" i="10" s="1"/>
  <c r="E239" i="10"/>
  <c r="G239" i="10" s="1"/>
  <c r="E227" i="10"/>
  <c r="G227" i="10" s="1"/>
  <c r="E243" i="10"/>
  <c r="G243" i="10" s="1"/>
  <c r="D121" i="10"/>
  <c r="D37" i="10"/>
  <c r="F37" i="10" s="1"/>
  <c r="D83" i="10"/>
  <c r="E121" i="10"/>
  <c r="G121" i="10" s="1"/>
  <c r="E37" i="10"/>
  <c r="G37" i="10" s="1"/>
  <c r="E12" i="10"/>
  <c r="G12" i="10" s="1"/>
  <c r="D49" i="10"/>
  <c r="D95" i="10"/>
  <c r="D151" i="10"/>
  <c r="E133" i="10"/>
  <c r="G133" i="10" s="1"/>
  <c r="E74" i="10"/>
  <c r="G74" i="10" s="1"/>
  <c r="E104" i="10"/>
  <c r="G104" i="10" s="1"/>
  <c r="D186" i="10"/>
  <c r="F186" i="10" s="1"/>
  <c r="E82" i="10"/>
  <c r="G82" i="10" s="1"/>
  <c r="D183" i="10"/>
  <c r="E8" i="10"/>
  <c r="G8" i="10" s="1"/>
  <c r="E154" i="10"/>
  <c r="G154" i="10" s="1"/>
  <c r="E110" i="10"/>
  <c r="G110" i="10" s="1"/>
  <c r="D43" i="10"/>
  <c r="D206" i="10"/>
  <c r="F206" i="10" s="1"/>
  <c r="D139" i="10"/>
  <c r="D228" i="10"/>
  <c r="D242" i="10"/>
  <c r="F242" i="10" s="1"/>
  <c r="D222" i="10"/>
  <c r="F222" i="10" s="1"/>
  <c r="E238" i="10"/>
  <c r="G238" i="10" s="1"/>
  <c r="D220" i="10"/>
  <c r="F220" i="10" s="1"/>
  <c r="D233" i="10"/>
  <c r="D218" i="10"/>
  <c r="E162" i="10"/>
  <c r="G162" i="10" s="1"/>
  <c r="E204" i="10"/>
  <c r="G204" i="10" s="1"/>
  <c r="F171" i="10"/>
  <c r="F192" i="10"/>
  <c r="E80" i="10"/>
  <c r="G80" i="10" s="1"/>
  <c r="E113" i="10"/>
  <c r="G113" i="10" s="1"/>
  <c r="E62" i="10"/>
  <c r="G62" i="10" s="1"/>
  <c r="E139" i="10"/>
  <c r="G139" i="10" s="1"/>
  <c r="E114" i="10"/>
  <c r="G114" i="10" s="1"/>
  <c r="E232" i="10"/>
  <c r="G232" i="10" s="1"/>
  <c r="D232" i="10"/>
  <c r="D230" i="10"/>
  <c r="F230" i="10" s="1"/>
  <c r="E146" i="10"/>
  <c r="G146" i="10" s="1"/>
  <c r="D23" i="10"/>
  <c r="D105" i="10"/>
  <c r="D25" i="10"/>
  <c r="D71" i="10"/>
  <c r="D119" i="10"/>
  <c r="E9" i="10"/>
  <c r="G9" i="10" s="1"/>
  <c r="D125" i="10"/>
  <c r="E48" i="10"/>
  <c r="G48" i="10" s="1"/>
  <c r="D85" i="10"/>
  <c r="E125" i="10"/>
  <c r="G125" i="10" s="1"/>
  <c r="E53" i="10"/>
  <c r="G53" i="10" s="1"/>
  <c r="D15" i="10"/>
  <c r="E60" i="10"/>
  <c r="G60" i="10" s="1"/>
  <c r="D97" i="10"/>
  <c r="E17" i="10"/>
  <c r="G17" i="10" s="1"/>
  <c r="E149" i="10"/>
  <c r="G149" i="10" s="1"/>
  <c r="E78" i="10"/>
  <c r="G78" i="10" s="1"/>
  <c r="D153" i="10"/>
  <c r="D199" i="10"/>
  <c r="E109" i="10"/>
  <c r="G109" i="10" s="1"/>
  <c r="D191" i="10"/>
  <c r="F191" i="10" s="1"/>
  <c r="D29" i="10"/>
  <c r="E159" i="10"/>
  <c r="G159" i="10" s="1"/>
  <c r="D155" i="10"/>
  <c r="F155" i="10" s="1"/>
  <c r="E56" i="10"/>
  <c r="G56" i="10" s="1"/>
  <c r="E13" i="10"/>
  <c r="G13" i="10" s="1"/>
  <c r="E174" i="10"/>
  <c r="G174" i="10" s="1"/>
  <c r="E234" i="10"/>
  <c r="G234" i="10" s="1"/>
  <c r="E248" i="10"/>
  <c r="G248" i="10" s="1"/>
  <c r="D241" i="10"/>
  <c r="E188" i="10"/>
  <c r="G188" i="10" s="1"/>
  <c r="E196" i="10"/>
  <c r="G196" i="10" s="1"/>
  <c r="E236" i="10"/>
  <c r="G236" i="10" s="1"/>
  <c r="E224" i="10"/>
  <c r="G224" i="10" s="1"/>
  <c r="E170" i="10"/>
  <c r="G170" i="10" s="1"/>
  <c r="E211" i="10"/>
  <c r="G211" i="10" s="1"/>
  <c r="E21" i="10"/>
  <c r="G21" i="10" s="1"/>
  <c r="E36" i="10"/>
  <c r="G36" i="10" s="1"/>
  <c r="D73" i="10"/>
  <c r="D123" i="10"/>
  <c r="F123" i="10" s="1"/>
  <c r="E25" i="10"/>
  <c r="G25" i="10" s="1"/>
  <c r="E141" i="10"/>
  <c r="G141" i="10" s="1"/>
  <c r="D51" i="10"/>
  <c r="F51" i="10" s="1"/>
  <c r="E96" i="10"/>
  <c r="G96" i="10" s="1"/>
  <c r="D129" i="10"/>
  <c r="F129" i="10" s="1"/>
  <c r="E69" i="10"/>
  <c r="G69" i="10" s="1"/>
  <c r="D17" i="10"/>
  <c r="F17" i="10" s="1"/>
  <c r="D63" i="10"/>
  <c r="E108" i="10"/>
  <c r="G108" i="10" s="1"/>
  <c r="E33" i="10"/>
  <c r="G33" i="10" s="1"/>
  <c r="D165" i="10"/>
  <c r="E98" i="10"/>
  <c r="G98" i="10" s="1"/>
  <c r="D11" i="10"/>
  <c r="F11" i="10" s="1"/>
  <c r="D61" i="10"/>
  <c r="E131" i="10"/>
  <c r="G131" i="10" s="1"/>
  <c r="D207" i="10"/>
  <c r="D59" i="10"/>
  <c r="E29" i="10"/>
  <c r="G29" i="10" s="1"/>
  <c r="E157" i="10"/>
  <c r="G157" i="10" s="1"/>
  <c r="D77" i="10"/>
  <c r="E26" i="10"/>
  <c r="G26" i="10" s="1"/>
  <c r="D187" i="10"/>
  <c r="F187" i="10" s="1"/>
  <c r="E250" i="10"/>
  <c r="G250" i="10" s="1"/>
  <c r="E173" i="10"/>
  <c r="G173" i="10" s="1"/>
  <c r="E172" i="10"/>
  <c r="G172" i="10" s="1"/>
  <c r="E195" i="10"/>
  <c r="G195" i="10" s="1"/>
  <c r="D200" i="10"/>
  <c r="D246" i="10"/>
  <c r="D234" i="10"/>
  <c r="E182" i="10"/>
  <c r="G182" i="10" s="1"/>
  <c r="D237" i="10"/>
  <c r="F81" i="10"/>
  <c r="E20" i="10"/>
  <c r="G20" i="10" s="1"/>
  <c r="E105" i="10"/>
  <c r="G105" i="10" s="1"/>
  <c r="E145" i="10"/>
  <c r="G145" i="10" s="1"/>
  <c r="E92" i="10"/>
  <c r="G92" i="10" s="1"/>
  <c r="E61" i="10"/>
  <c r="G61" i="10" s="1"/>
  <c r="E177" i="10"/>
  <c r="G177" i="10" s="1"/>
  <c r="E143" i="10"/>
  <c r="G143" i="10" s="1"/>
  <c r="E218" i="10"/>
  <c r="G218" i="10" s="1"/>
  <c r="E194" i="10"/>
  <c r="G194" i="10" s="1"/>
  <c r="E181" i="10"/>
  <c r="G181" i="10" s="1"/>
  <c r="D208" i="10"/>
  <c r="E246" i="10"/>
  <c r="G246" i="10" s="1"/>
  <c r="E68" i="10"/>
  <c r="G68" i="10" s="1"/>
  <c r="E41" i="10"/>
  <c r="G41" i="10" s="1"/>
  <c r="E85" i="10"/>
  <c r="G85" i="10" s="1"/>
  <c r="E49" i="10"/>
  <c r="G49" i="10" s="1"/>
  <c r="E130" i="10"/>
  <c r="G130" i="10" s="1"/>
  <c r="E24" i="10"/>
  <c r="G24" i="10" s="1"/>
  <c r="E150" i="10"/>
  <c r="G150" i="10" s="1"/>
  <c r="D137" i="10"/>
  <c r="F137" i="10" s="1"/>
  <c r="D163" i="10"/>
  <c r="E72" i="10"/>
  <c r="G72" i="10" s="1"/>
  <c r="E42" i="10"/>
  <c r="G42" i="10" s="1"/>
  <c r="D167" i="10"/>
  <c r="D107" i="10"/>
  <c r="E30" i="10"/>
  <c r="G30" i="10" s="1"/>
  <c r="D203" i="10"/>
  <c r="E228" i="10"/>
  <c r="G228" i="10" s="1"/>
  <c r="E192" i="10"/>
  <c r="G192" i="10" s="1"/>
  <c r="E184" i="10"/>
  <c r="G184" i="10" s="1"/>
  <c r="E202" i="10"/>
  <c r="G202" i="10" s="1"/>
  <c r="E203" i="10"/>
  <c r="G203" i="10" s="1"/>
  <c r="D249" i="10"/>
  <c r="F249" i="10" s="1"/>
  <c r="E240" i="10"/>
  <c r="G240" i="10" s="1"/>
  <c r="E200" i="10"/>
  <c r="G200" i="10" s="1"/>
  <c r="D196" i="10"/>
  <c r="C20" i="9"/>
  <c r="C22" i="9" s="1"/>
  <c r="C24" i="9" s="1"/>
  <c r="G28" i="9" s="1"/>
  <c r="H6" i="3" s="1"/>
  <c r="H15" i="4" s="1"/>
  <c r="D5" i="4"/>
  <c r="E8" i="2"/>
  <c r="E9" i="3"/>
  <c r="F7" i="3" s="1"/>
  <c r="F208" i="10" l="1"/>
  <c r="F135" i="10"/>
  <c r="F252" i="10"/>
  <c r="F79" i="10"/>
  <c r="F161" i="10"/>
  <c r="F167" i="10"/>
  <c r="F59" i="10"/>
  <c r="F207" i="10"/>
  <c r="F63" i="10"/>
  <c r="F233" i="10"/>
  <c r="F43" i="10"/>
  <c r="F83" i="10"/>
  <c r="F197" i="10"/>
  <c r="F138" i="10"/>
  <c r="F14" i="10"/>
  <c r="F82" i="10"/>
  <c r="F72" i="10"/>
  <c r="F241" i="10"/>
  <c r="F97" i="10"/>
  <c r="F147" i="10"/>
  <c r="F209" i="10"/>
  <c r="F64" i="10"/>
  <c r="F203" i="10"/>
  <c r="F234" i="10"/>
  <c r="F119" i="10"/>
  <c r="F184" i="10"/>
  <c r="F143" i="10"/>
  <c r="F126" i="10"/>
  <c r="F244" i="10"/>
  <c r="F219" i="10"/>
  <c r="F102" i="10"/>
  <c r="F205" i="10"/>
  <c r="F118" i="10"/>
  <c r="F154" i="10"/>
  <c r="F30" i="10"/>
  <c r="F98" i="10"/>
  <c r="F108" i="10"/>
  <c r="F76" i="10"/>
  <c r="F12" i="10"/>
  <c r="F151" i="10"/>
  <c r="F121" i="10"/>
  <c r="F245" i="10"/>
  <c r="F70" i="10"/>
  <c r="F86" i="10"/>
  <c r="F156" i="10"/>
  <c r="F134" i="10"/>
  <c r="F100" i="10"/>
  <c r="F68" i="10"/>
  <c r="F36" i="10"/>
  <c r="F128" i="10"/>
  <c r="F105" i="10"/>
  <c r="F160" i="10"/>
  <c r="F22" i="10"/>
  <c r="F229" i="10"/>
  <c r="F90" i="10"/>
  <c r="F202" i="10"/>
  <c r="F170" i="10"/>
  <c r="F96" i="10"/>
  <c r="F32" i="10"/>
  <c r="F182" i="10"/>
  <c r="F131" i="10"/>
  <c r="F38" i="10"/>
  <c r="F104" i="10"/>
  <c r="F153" i="10"/>
  <c r="F85" i="10"/>
  <c r="F23" i="10"/>
  <c r="F69" i="10"/>
  <c r="F183" i="10"/>
  <c r="F124" i="10"/>
  <c r="F94" i="10"/>
  <c r="F31" i="10"/>
  <c r="F87" i="10"/>
  <c r="F240" i="10"/>
  <c r="F228" i="10"/>
  <c r="F9" i="10"/>
  <c r="F27" i="10"/>
  <c r="F41" i="10"/>
  <c r="F53" i="10"/>
  <c r="F246" i="10"/>
  <c r="F163" i="10"/>
  <c r="F237" i="10"/>
  <c r="F73" i="10"/>
  <c r="F84" i="10"/>
  <c r="F7" i="10"/>
  <c r="F33" i="10"/>
  <c r="F120" i="10"/>
  <c r="F176" i="10"/>
  <c r="F54" i="10"/>
  <c r="F136" i="10"/>
  <c r="F150" i="10"/>
  <c r="F40" i="10"/>
  <c r="F8" i="10"/>
  <c r="F238" i="10"/>
  <c r="F99" i="10"/>
  <c r="F164" i="10"/>
  <c r="F251" i="10"/>
  <c r="F117" i="10"/>
  <c r="F75" i="10"/>
  <c r="F148" i="10"/>
  <c r="F110" i="10"/>
  <c r="F178" i="10"/>
  <c r="F61" i="10"/>
  <c r="F29" i="10"/>
  <c r="F232" i="10"/>
  <c r="F149" i="10"/>
  <c r="F55" i="10"/>
  <c r="F49" i="10"/>
  <c r="F175" i="10"/>
  <c r="F247" i="10"/>
  <c r="F201" i="10"/>
  <c r="F224" i="10"/>
  <c r="F221" i="10"/>
  <c r="F227" i="10"/>
  <c r="F181" i="10"/>
  <c r="F74" i="10"/>
  <c r="F198" i="10"/>
  <c r="F162" i="10"/>
  <c r="F92" i="10"/>
  <c r="F60" i="10"/>
  <c r="F103" i="10"/>
  <c r="F101" i="10"/>
  <c r="F173" i="10"/>
  <c r="F127" i="10"/>
  <c r="F107" i="10"/>
  <c r="F125" i="10"/>
  <c r="F95" i="10"/>
  <c r="F140" i="10"/>
  <c r="F47" i="10"/>
  <c r="F67" i="10"/>
  <c r="F231" i="10"/>
  <c r="F193" i="10"/>
  <c r="F122" i="10"/>
  <c r="F217" i="10"/>
  <c r="F180" i="10"/>
  <c r="F144" i="10"/>
  <c r="F177" i="10"/>
  <c r="F194" i="10"/>
  <c r="F78" i="10"/>
  <c r="F146" i="10"/>
  <c r="F18" i="10"/>
  <c r="F56" i="10"/>
  <c r="F24" i="10"/>
  <c r="F195" i="10"/>
  <c r="F169" i="10"/>
  <c r="F111" i="10"/>
  <c r="F15" i="10"/>
  <c r="F226" i="10"/>
  <c r="F21" i="10"/>
  <c r="F223" i="10"/>
  <c r="F185" i="10"/>
  <c r="F239" i="10"/>
  <c r="F213" i="10"/>
  <c r="F248" i="10"/>
  <c r="F158" i="10"/>
  <c r="F174" i="10"/>
  <c r="F42" i="10"/>
  <c r="F190" i="10"/>
  <c r="F62" i="10"/>
  <c r="F130" i="10"/>
  <c r="F116" i="10"/>
  <c r="F52" i="10"/>
  <c r="F20" i="10"/>
  <c r="F91" i="10"/>
  <c r="F19" i="10"/>
  <c r="F65" i="10"/>
  <c r="F39" i="10"/>
  <c r="F141" i="10"/>
  <c r="F152" i="10"/>
  <c r="F132" i="10"/>
  <c r="F236" i="10"/>
  <c r="F243" i="10"/>
  <c r="F250" i="10"/>
  <c r="F45" i="10"/>
  <c r="F145" i="10"/>
  <c r="F159" i="10"/>
  <c r="F77" i="10"/>
  <c r="F71" i="10"/>
  <c r="F139" i="10"/>
  <c r="F196" i="10"/>
  <c r="F109" i="10"/>
  <c r="F212" i="10"/>
  <c r="F200" i="10"/>
  <c r="F165" i="10"/>
  <c r="F199" i="10"/>
  <c r="F25" i="10"/>
  <c r="F13" i="10"/>
  <c r="F218" i="10"/>
  <c r="F133" i="10"/>
  <c r="F215" i="10"/>
  <c r="F235" i="10"/>
  <c r="F168" i="10"/>
  <c r="F225" i="10"/>
  <c r="F142" i="10"/>
  <c r="F166" i="10"/>
  <c r="F26" i="10"/>
  <c r="F172" i="10"/>
  <c r="F46" i="10"/>
  <c r="F114" i="10"/>
  <c r="F112" i="10"/>
  <c r="F80" i="10"/>
  <c r="F48" i="10"/>
  <c r="F16" i="10"/>
  <c r="F179" i="10"/>
  <c r="F188" i="10"/>
  <c r="F113" i="10"/>
  <c r="F204" i="10"/>
  <c r="D8" i="4"/>
  <c r="D10" i="4" s="1"/>
  <c r="D17" i="4"/>
  <c r="D18" i="4" s="1"/>
  <c r="F8" i="3"/>
  <c r="F9" i="4" s="1"/>
  <c r="F14" i="4" s="1"/>
  <c r="E5" i="4"/>
  <c r="F8" i="2"/>
  <c r="F9" i="3" l="1"/>
  <c r="G7" i="3" s="1"/>
  <c r="F5" i="4"/>
  <c r="G8" i="2"/>
  <c r="E17" i="4"/>
  <c r="E18" i="4" s="1"/>
  <c r="E8" i="4"/>
  <c r="E10" i="4" s="1"/>
  <c r="G8" i="3"/>
  <c r="G9" i="4" s="1"/>
  <c r="G14" i="4" s="1"/>
  <c r="D12" i="4"/>
  <c r="D13" i="4"/>
  <c r="D20" i="4" s="1"/>
  <c r="C8" i="7" s="1"/>
  <c r="C10" i="7" s="1"/>
  <c r="G9" i="3" l="1"/>
  <c r="H7" i="3" s="1"/>
  <c r="H8" i="3"/>
  <c r="H9" i="4" s="1"/>
  <c r="H14" i="4" s="1"/>
  <c r="E12" i="4"/>
  <c r="E13" i="4" s="1"/>
  <c r="E20" i="4" s="1"/>
  <c r="D8" i="7" s="1"/>
  <c r="D10" i="7" s="1"/>
  <c r="H8" i="2"/>
  <c r="H5" i="4" s="1"/>
  <c r="G5" i="4"/>
  <c r="F17" i="4"/>
  <c r="F18" i="4" s="1"/>
  <c r="F8" i="4"/>
  <c r="F10" i="4" s="1"/>
  <c r="H9" i="3" l="1"/>
  <c r="F12" i="4"/>
  <c r="F13" i="4" s="1"/>
  <c r="F20" i="4" s="1"/>
  <c r="E8" i="7" s="1"/>
  <c r="E10" i="7" s="1"/>
  <c r="G17" i="4"/>
  <c r="G18" i="4" s="1"/>
  <c r="G8" i="4"/>
  <c r="G10" i="4" s="1"/>
  <c r="H17" i="4"/>
  <c r="H18" i="4" s="1"/>
  <c r="H8" i="4"/>
  <c r="H10" i="4" s="1"/>
  <c r="H12" i="4" l="1"/>
  <c r="H13" i="4" s="1"/>
  <c r="H20" i="4" s="1"/>
  <c r="G8" i="7" s="1"/>
  <c r="G12" i="4"/>
  <c r="G13" i="4" s="1"/>
  <c r="G20" i="4" s="1"/>
  <c r="F8" i="7" s="1"/>
  <c r="F10" i="7" s="1"/>
  <c r="G10" i="7" l="1"/>
  <c r="C12" i="7" s="1"/>
  <c r="C13" i="7"/>
  <c r="C14" i="7" s="1"/>
  <c r="C15" i="7" l="1"/>
  <c r="C17" i="7" s="1"/>
  <c r="C2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All prices in columns B and C are real, hardcoded inputs from the user-supplied NSE data files — not formulas.</t>
        </r>
      </text>
    </comment>
  </commentList>
</comments>
</file>

<file path=xl/sharedStrings.xml><?xml version="1.0" encoding="utf-8"?>
<sst xmlns="http://schemas.openxmlformats.org/spreadsheetml/2006/main" count="146" uniqueCount="111">
  <si>
    <t>Capex (₹ Cr)</t>
  </si>
  <si>
    <t>Revenue Build — Capacity-Driven Growth</t>
  </si>
  <si>
    <t>Line Item</t>
  </si>
  <si>
    <t>FY26A</t>
  </si>
  <si>
    <t>FY27E</t>
  </si>
  <si>
    <t>FY28E</t>
  </si>
  <si>
    <t>FY29E</t>
  </si>
  <si>
    <t>FY30E</t>
  </si>
  <si>
    <t>FY31E</t>
  </si>
  <si>
    <t>Installed capacity, year-end (GW)</t>
  </si>
  <si>
    <t>Average capacity during year (GW)</t>
  </si>
  <si>
    <t>Capacity growth rate (= revenue growth)</t>
  </si>
  <si>
    <t>n/a</t>
  </si>
  <si>
    <t>Revenue (₹ Cr)</t>
  </si>
  <si>
    <t>Depreciation rate (% of opening asset base)</t>
  </si>
  <si>
    <t>FY26 actual Depreciation (₹3,185 Cr) ÷ FY25 closing Net PP&amp;E + CWIP (₹64,436 Cr) ≈ 4.9%, rounded to 5%, held flat.</t>
  </si>
  <si>
    <t>Opening net asset base (PP&amp;E + CWIP)</t>
  </si>
  <si>
    <t>Depreciation (₹ Cr)</t>
  </si>
  <si>
    <t>Closing net asset base</t>
  </si>
  <si>
    <t>JSW Energy — FCFF Projection, FY27E–FY31E (₹ Crore)</t>
  </si>
  <si>
    <t>Revenue</t>
  </si>
  <si>
    <t xml:space="preserve">  Revenue growth %</t>
  </si>
  <si>
    <t>EBITDA margin (%)</t>
  </si>
  <si>
    <t>EBITDA</t>
  </si>
  <si>
    <t>Less: Depreciation</t>
  </si>
  <si>
    <t>EBIT</t>
  </si>
  <si>
    <t>Tax rate (%)</t>
  </si>
  <si>
    <t>Less: Tax on EBIT</t>
  </si>
  <si>
    <t>NOPAT (EBIT x (1 − tax rate))</t>
  </si>
  <si>
    <t>Add: Depreciation</t>
  </si>
  <si>
    <t>Less: Capex</t>
  </si>
  <si>
    <t>Debtor days (Screener)</t>
  </si>
  <si>
    <t xml:space="preserve">  Incremental revenue (this yr − prior yr)</t>
  </si>
  <si>
    <t>Less: Increase in working capital (ΔWC)</t>
  </si>
  <si>
    <t>FCFF  =  NOPAT + Depreciation − Capex − ΔWC</t>
  </si>
  <si>
    <t>FY25</t>
  </si>
  <si>
    <t>FY26</t>
  </si>
  <si>
    <t>Capacity (GW)</t>
  </si>
  <si>
    <t>Basis</t>
  </si>
  <si>
    <t>Actual</t>
  </si>
  <si>
    <t>+3 GW guided</t>
  </si>
  <si>
    <t>+3 GW ("similar pace")</t>
  </si>
  <si>
    <t>Target</t>
  </si>
  <si>
    <t>Steady-state</t>
  </si>
  <si>
    <t xml:space="preserve">Bridge </t>
  </si>
  <si>
    <t>Capex &amp; Depreciation Schedule</t>
  </si>
  <si>
    <t>Year</t>
  </si>
  <si>
    <t>WACC = We×Ke + Wd×Kd(post-tax)</t>
  </si>
  <si>
    <t>Weight — Debt (D/V)</t>
  </si>
  <si>
    <t>Weight — Equity (E/V)</t>
  </si>
  <si>
    <t>Cost of debt, post-tax = Kd×(1−t)</t>
  </si>
  <si>
    <t>Tax rate (for debt tax shield)</t>
  </si>
  <si>
    <t>Cost of debt, pre-tax (Kd)</t>
  </si>
  <si>
    <t>Cost of Equity (Ke) = Rf + β×ERP</t>
  </si>
  <si>
    <t>Equity Risk Premium (ERP)</t>
  </si>
  <si>
    <t>Equity Beta (β)</t>
  </si>
  <si>
    <t>Risk-free rate (Rf)</t>
  </si>
  <si>
    <t>Calculation</t>
  </si>
  <si>
    <t>Input</t>
  </si>
  <si>
    <t>Intrinsic Value / Share</t>
  </si>
  <si>
    <t>÷ Shares Outstanding (Cr)</t>
  </si>
  <si>
    <t>Equity Value</t>
  </si>
  <si>
    <t>Less: Net Debt (FY26)</t>
  </si>
  <si>
    <t>Enterprise Value</t>
  </si>
  <si>
    <t>PV of Terminal Value</t>
  </si>
  <si>
    <t>Terminal Value (= FY31E FCFF x (1+g) / (WACC-g))</t>
  </si>
  <si>
    <t>Sum PV of FCFF (FY27-31)</t>
  </si>
  <si>
    <t>PV of FCFF</t>
  </si>
  <si>
    <t>Discount factor</t>
  </si>
  <si>
    <t>FCFF (₹ Cr)</t>
  </si>
  <si>
    <t>Selected Terminal Growth (g)</t>
  </si>
  <si>
    <t>Selected WACC</t>
  </si>
  <si>
    <t>DCF Valuation — Intrinsic Value per Share</t>
  </si>
  <si>
    <t xml:space="preserve">WACC </t>
  </si>
  <si>
    <t>Formula: Incremental revenue x (Debtor Days / 365)</t>
  </si>
  <si>
    <t>Note</t>
  </si>
  <si>
    <t>Capacity Added That Year (GW)</t>
  </si>
  <si>
    <t>JSW Energy — Capex Projection, FY2027E - FY2031E</t>
  </si>
  <si>
    <t>Capex Pool</t>
  </si>
  <si>
    <t>Total Disclosed Program Capex, FY26-FY30 (₹ Cr)</t>
  </si>
  <si>
    <t>Less: FY26 Actual Capex Already Spent (₹ Cr)</t>
  </si>
  <si>
    <t>Remaining Capex Required, FY27E-FY30E (₹ Cr)</t>
  </si>
  <si>
    <t>FY27E Capex confirmed by Management</t>
  </si>
  <si>
    <t>FY27E Capex (₹ Cr)</t>
  </si>
  <si>
    <t>Remaining Capex for FY28E-FY30E (₹ Cr)</t>
  </si>
  <si>
    <t>Share of FY28E-FY30E Total Capacity Added</t>
  </si>
  <si>
    <t>Allocated Capex (₹ Cr)</t>
  </si>
  <si>
    <t>FY31E (Beyond the Disclosed Program)</t>
  </si>
  <si>
    <t>Total FY27E-FY30E Capex (₹ Cr)</t>
  </si>
  <si>
    <t>Total FY27E-FY30E Capacity Added (GW)</t>
  </si>
  <si>
    <t>Implied Capex per GW (₹ Cr/GW)</t>
  </si>
  <si>
    <t>FY31E Capacity Added (GW)</t>
  </si>
  <si>
    <t>FY31E Capex (₹ Cr)</t>
  </si>
  <si>
    <t>Allocating FY28E - FY30E by Share of Capacity Added</t>
  </si>
  <si>
    <t xml:space="preserve">FINAL CAPEX SCHEDULE </t>
  </si>
  <si>
    <t>NIFTY Deviation²</t>
  </si>
  <si>
    <t>Cross Product
(JSW Dev x NIFTY Dev)</t>
  </si>
  <si>
    <t>NIFTY Deviation
(Return - Mean)</t>
  </si>
  <si>
    <t>JSW Deviation
(Return - Mean)</t>
  </si>
  <si>
    <t>NIFTY Return</t>
  </si>
  <si>
    <t>JSW Return</t>
  </si>
  <si>
    <t>Date</t>
  </si>
  <si>
    <t>Daily Returns and Deviations from Mean</t>
  </si>
  <si>
    <t>BETA (COVAR / VARP)</t>
  </si>
  <si>
    <t>Variance of Market (NIFTY 50)</t>
  </si>
  <si>
    <t>Beta Calculation</t>
  </si>
  <si>
    <t>JSW Energy — Manual Beta Calculation (Covariance / Variance Method)</t>
  </si>
  <si>
    <t>NIFTY 50 Close</t>
  </si>
  <si>
    <t>JSW Energy Close (₹)</t>
  </si>
  <si>
    <t>JSW Energy vs. NIFTY 50 — Daily Closing Prices (1-Year, 06-Sep-2025 to 04-Sep-2026)</t>
  </si>
  <si>
    <t xml:space="preserve">Covariance JSW &amp; NIFTY50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</si>
</sst>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;\(#,##0\);\-"/>
    <numFmt numFmtId="166" formatCode="\₹#,##0.0;&quot;₹(&quot;#,##0.0\);\-"/>
    <numFmt numFmtId="167" formatCode="0.0"/>
    <numFmt numFmtId="168" formatCode="0.000"/>
    <numFmt numFmtId="169" formatCode="0.000000"/>
    <numFmt numFmtId="170" formatCode="dd\-mmm\-yyyy"/>
  </numFmts>
  <fonts count="3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name val="Arial"/>
      <family val="2"/>
    </font>
    <font>
      <b/>
      <sz val="11"/>
      <color theme="0"/>
      <name val="Calibri"/>
      <family val="2"/>
      <charset val="1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sz val="10"/>
      <color rgb="FF008000"/>
      <name val="Arial"/>
      <family val="2"/>
    </font>
    <font>
      <b/>
      <sz val="14"/>
      <color theme="0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00B050"/>
      <name val="Arial"/>
      <family val="2"/>
    </font>
    <font>
      <i/>
      <sz val="10"/>
      <color rgb="FF595959"/>
      <name val="Arial"/>
      <family val="2"/>
    </font>
    <font>
      <b/>
      <sz val="14"/>
      <color rgb="FF1F3864"/>
      <name val="Arial"/>
      <family val="2"/>
    </font>
    <font>
      <sz val="11"/>
      <color theme="0"/>
      <name val="Calibri"/>
      <family val="2"/>
      <charset val="1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002060"/>
        <bgColor rgb="FF003366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rgb="FFD9E1F2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1" xfId="0" applyFont="1" applyBorder="1"/>
    <xf numFmtId="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4" fontId="7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165" fontId="7" fillId="2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165" fontId="7" fillId="2" borderId="1" xfId="0" applyNumberFormat="1" applyFont="1" applyFill="1" applyBorder="1" applyAlignment="1">
      <alignment horizontal="center" wrapText="1"/>
    </xf>
    <xf numFmtId="165" fontId="8" fillId="2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horizontal="center" wrapText="1"/>
    </xf>
    <xf numFmtId="165" fontId="8" fillId="0" borderId="1" xfId="0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0" fontId="10" fillId="0" borderId="2" xfId="0" applyFont="1" applyBorder="1" applyAlignment="1">
      <alignment vertical="center"/>
    </xf>
    <xf numFmtId="4" fontId="11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65" fontId="0" fillId="0" borderId="0" xfId="0" applyNumberFormat="1" applyAlignment="1">
      <alignment wrapText="1"/>
    </xf>
    <xf numFmtId="0" fontId="3" fillId="5" borderId="1" xfId="0" applyFont="1" applyFill="1" applyBorder="1"/>
    <xf numFmtId="165" fontId="6" fillId="5" borderId="1" xfId="0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165" fontId="9" fillId="6" borderId="1" xfId="0" applyNumberFormat="1" applyFont="1" applyFill="1" applyBorder="1" applyAlignment="1">
      <alignment horizontal="center" wrapText="1"/>
    </xf>
    <xf numFmtId="0" fontId="16" fillId="0" borderId="0" xfId="0" applyFont="1"/>
    <xf numFmtId="10" fontId="17" fillId="6" borderId="1" xfId="0" applyNumberFormat="1" applyFont="1" applyFill="1" applyBorder="1" applyAlignment="1">
      <alignment horizontal="center"/>
    </xf>
    <xf numFmtId="0" fontId="17" fillId="6" borderId="1" xfId="0" applyFont="1" applyFill="1" applyBorder="1"/>
    <xf numFmtId="164" fontId="18" fillId="0" borderId="1" xfId="0" applyNumberFormat="1" applyFont="1" applyBorder="1" applyAlignment="1">
      <alignment horizontal="center"/>
    </xf>
    <xf numFmtId="0" fontId="16" fillId="0" borderId="1" xfId="0" applyFont="1" applyBorder="1"/>
    <xf numFmtId="164" fontId="19" fillId="0" borderId="1" xfId="0" applyNumberFormat="1" applyFont="1" applyBorder="1" applyAlignment="1">
      <alignment horizontal="center"/>
    </xf>
    <xf numFmtId="10" fontId="18" fillId="2" borderId="1" xfId="0" applyNumberFormat="1" applyFont="1" applyFill="1" applyBorder="1" applyAlignment="1">
      <alignment horizontal="center"/>
    </xf>
    <xf numFmtId="0" fontId="16" fillId="2" borderId="1" xfId="0" applyFont="1" applyFill="1" applyBorder="1"/>
    <xf numFmtId="10" fontId="19" fillId="0" borderId="1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166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/>
    <xf numFmtId="167" fontId="19" fillId="0" borderId="1" xfId="0" applyNumberFormat="1" applyFont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/>
    <xf numFmtId="165" fontId="19" fillId="0" borderId="1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165" fontId="18" fillId="2" borderId="1" xfId="0" applyNumberFormat="1" applyFont="1" applyFill="1" applyBorder="1" applyAlignment="1">
      <alignment horizontal="center"/>
    </xf>
    <xf numFmtId="168" fontId="18" fillId="0" borderId="1" xfId="0" applyNumberFormat="1" applyFont="1" applyBorder="1" applyAlignment="1">
      <alignment horizontal="center"/>
    </xf>
    <xf numFmtId="165" fontId="22" fillId="2" borderId="1" xfId="0" applyNumberFormat="1" applyFont="1" applyFill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24" fillId="0" borderId="0" xfId="0" applyFont="1"/>
    <xf numFmtId="165" fontId="19" fillId="0" borderId="1" xfId="0" applyNumberFormat="1" applyFont="1" applyBorder="1"/>
    <xf numFmtId="165" fontId="18" fillId="7" borderId="1" xfId="0" applyNumberFormat="1" applyFont="1" applyFill="1" applyBorder="1"/>
    <xf numFmtId="0" fontId="16" fillId="8" borderId="1" xfId="0" applyFont="1" applyFill="1" applyBorder="1"/>
    <xf numFmtId="0" fontId="25" fillId="8" borderId="1" xfId="0" applyFont="1" applyFill="1" applyBorder="1" applyAlignment="1">
      <alignment horizontal="center"/>
    </xf>
    <xf numFmtId="2" fontId="22" fillId="0" borderId="1" xfId="0" applyNumberFormat="1" applyFont="1" applyBorder="1"/>
    <xf numFmtId="164" fontId="18" fillId="0" borderId="1" xfId="0" applyNumberFormat="1" applyFont="1" applyBorder="1"/>
    <xf numFmtId="165" fontId="18" fillId="0" borderId="1" xfId="0" applyNumberFormat="1" applyFont="1" applyBorder="1"/>
    <xf numFmtId="3" fontId="18" fillId="7" borderId="1" xfId="0" applyNumberFormat="1" applyFont="1" applyFill="1" applyBorder="1"/>
    <xf numFmtId="0" fontId="24" fillId="0" borderId="1" xfId="0" applyFont="1" applyBorder="1"/>
    <xf numFmtId="165" fontId="17" fillId="7" borderId="1" xfId="0" applyNumberFormat="1" applyFont="1" applyFill="1" applyBorder="1"/>
    <xf numFmtId="0" fontId="23" fillId="9" borderId="0" xfId="0" applyFont="1" applyFill="1"/>
    <xf numFmtId="165" fontId="26" fillId="0" borderId="1" xfId="0" applyNumberFormat="1" applyFont="1" applyBorder="1" applyAlignment="1">
      <alignment horizontal="center"/>
    </xf>
    <xf numFmtId="169" fontId="18" fillId="0" borderId="1" xfId="0" applyNumberFormat="1" applyFont="1" applyBorder="1"/>
    <xf numFmtId="10" fontId="18" fillId="0" borderId="1" xfId="0" applyNumberFormat="1" applyFont="1" applyBorder="1"/>
    <xf numFmtId="170" fontId="18" fillId="0" borderId="1" xfId="0" applyNumberFormat="1" applyFont="1" applyBorder="1"/>
    <xf numFmtId="0" fontId="25" fillId="8" borderId="1" xfId="0" applyFont="1" applyFill="1" applyBorder="1" applyAlignment="1">
      <alignment horizontal="center" wrapText="1"/>
    </xf>
    <xf numFmtId="0" fontId="27" fillId="0" borderId="0" xfId="0" applyFont="1"/>
    <xf numFmtId="0" fontId="28" fillId="0" borderId="0" xfId="0" applyFont="1"/>
    <xf numFmtId="2" fontId="18" fillId="7" borderId="1" xfId="0" applyNumberFormat="1" applyFont="1" applyFill="1" applyBorder="1"/>
    <xf numFmtId="0" fontId="11" fillId="0" borderId="1" xfId="0" applyFont="1" applyBorder="1"/>
    <xf numFmtId="0" fontId="29" fillId="9" borderId="0" xfId="0" applyFont="1" applyFill="1"/>
    <xf numFmtId="0" fontId="30" fillId="9" borderId="0" xfId="0" applyFont="1" applyFill="1"/>
    <xf numFmtId="0" fontId="28" fillId="0" borderId="0" xfId="0" applyFont="1" applyAlignment="1">
      <alignment horizontal="center"/>
    </xf>
    <xf numFmtId="0" fontId="25" fillId="8" borderId="0" xfId="0" applyFont="1" applyFill="1" applyAlignment="1">
      <alignment horizontal="center"/>
    </xf>
    <xf numFmtId="170" fontId="19" fillId="0" borderId="0" xfId="0" applyNumberFormat="1" applyFont="1"/>
    <xf numFmtId="4" fontId="19" fillId="0" borderId="0" xfId="0" applyNumberFormat="1" applyFont="1"/>
    <xf numFmtId="4" fontId="0" fillId="0" borderId="0" xfId="0" applyNumberFormat="1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indent="1"/>
    </xf>
    <xf numFmtId="0" fontId="12" fillId="4" borderId="0" xfId="0" applyFont="1" applyFill="1" applyAlignment="1">
      <alignment horizontal="left" vertical="center" indent="1"/>
    </xf>
    <xf numFmtId="0" fontId="27" fillId="0" borderId="0" xfId="0" applyFont="1"/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JSW_Energy_Capex_Model.xlsx" TargetMode="External"/><Relationship Id="rId1" Type="http://schemas.openxmlformats.org/officeDocument/2006/relationships/externalLinkPath" Target="JSW_Energy_Cape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city Build"/>
      <sheetName val="Capex Projection"/>
    </sheetNames>
    <sheetDataSet>
      <sheetData sheetId="0">
        <row r="5">
          <cell r="C5">
            <v>3</v>
          </cell>
          <cell r="D5">
            <v>3</v>
          </cell>
          <cell r="E5">
            <v>5.25</v>
          </cell>
          <cell r="F5">
            <v>5.3</v>
          </cell>
          <cell r="G5">
            <v>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5"/>
  <sheetViews>
    <sheetView showGridLines="0" tabSelected="1" zoomScaleNormal="100" workbookViewId="0">
      <selection activeCell="J8" sqref="J8"/>
    </sheetView>
  </sheetViews>
  <sheetFormatPr defaultColWidth="8.6640625" defaultRowHeight="14.4" x14ac:dyDescent="0.3"/>
  <cols>
    <col min="1" max="1" width="3" customWidth="1"/>
    <col min="2" max="2" width="37.33203125" bestFit="1" customWidth="1"/>
    <col min="3" max="3" width="7" bestFit="1" customWidth="1"/>
    <col min="4" max="4" width="6.5546875" bestFit="1" customWidth="1"/>
    <col min="5" max="5" width="12.21875" bestFit="1" customWidth="1"/>
    <col min="6" max="6" width="19.44140625" bestFit="1" customWidth="1"/>
    <col min="7" max="8" width="6.5546875" bestFit="1" customWidth="1"/>
    <col min="9" max="9" width="11.21875" bestFit="1" customWidth="1"/>
    <col min="10" max="10" width="125.33203125" bestFit="1" customWidth="1"/>
  </cols>
  <sheetData>
    <row r="2" spans="2:10" ht="25.5" customHeight="1" x14ac:dyDescent="0.3">
      <c r="B2" s="86" t="s">
        <v>1</v>
      </c>
      <c r="C2" s="86"/>
      <c r="D2" s="86"/>
      <c r="E2" s="86"/>
      <c r="F2" s="86"/>
      <c r="G2" s="86"/>
      <c r="H2" s="86"/>
      <c r="I2" s="86"/>
      <c r="J2" s="86"/>
    </row>
    <row r="4" spans="2:10" ht="19.5" customHeight="1" x14ac:dyDescent="0.3">
      <c r="B4" s="25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 t="s">
        <v>7</v>
      </c>
      <c r="H4" s="25" t="s">
        <v>8</v>
      </c>
    </row>
    <row r="5" spans="2:10" ht="30" customHeight="1" x14ac:dyDescent="0.3">
      <c r="B5" s="1" t="s">
        <v>9</v>
      </c>
      <c r="C5" s="2">
        <v>13.45</v>
      </c>
      <c r="D5" s="23">
        <f>E13</f>
        <v>16.45</v>
      </c>
      <c r="E5" s="23">
        <f t="shared" ref="E5:H5" si="0">F13</f>
        <v>19.45</v>
      </c>
      <c r="F5" s="23">
        <f t="shared" si="0"/>
        <v>24.7</v>
      </c>
      <c r="G5" s="23">
        <f t="shared" si="0"/>
        <v>30</v>
      </c>
      <c r="H5" s="23">
        <f t="shared" si="0"/>
        <v>32</v>
      </c>
    </row>
    <row r="6" spans="2:10" ht="30" customHeight="1" x14ac:dyDescent="0.3">
      <c r="B6" s="1" t="s">
        <v>10</v>
      </c>
      <c r="C6" s="2">
        <v>12.16</v>
      </c>
      <c r="D6" s="4">
        <f>(C5+D5)/2</f>
        <v>14.95</v>
      </c>
      <c r="E6" s="4">
        <f>(D5+E5)/2</f>
        <v>17.95</v>
      </c>
      <c r="F6" s="4">
        <f>(E5+F5)/2</f>
        <v>22.074999999999999</v>
      </c>
      <c r="G6" s="4">
        <f>(F5+G5)/2</f>
        <v>27.35</v>
      </c>
      <c r="H6" s="4">
        <f>(G5+H5)/2</f>
        <v>31</v>
      </c>
    </row>
    <row r="7" spans="2:10" ht="27.75" customHeight="1" x14ac:dyDescent="0.3">
      <c r="B7" s="1" t="s">
        <v>11</v>
      </c>
      <c r="C7" s="27" t="s">
        <v>12</v>
      </c>
      <c r="D7" s="20">
        <f>D6/C6-1</f>
        <v>0.22944078947368407</v>
      </c>
      <c r="E7" s="20">
        <f>E6/D6-1</f>
        <v>0.20066889632107032</v>
      </c>
      <c r="F7" s="20">
        <f>F6/E6-1</f>
        <v>0.22980501392757668</v>
      </c>
      <c r="G7" s="20">
        <f>G6/F6-1</f>
        <v>0.23895809739524365</v>
      </c>
      <c r="H7" s="20">
        <f>H6/G6-1</f>
        <v>0.13345521023765983</v>
      </c>
    </row>
    <row r="8" spans="2:10" ht="21.75" customHeight="1" x14ac:dyDescent="0.3">
      <c r="B8" s="29" t="s">
        <v>13</v>
      </c>
      <c r="C8" s="30">
        <v>18901</v>
      </c>
      <c r="D8" s="31">
        <f>C8*(1+D7)</f>
        <v>23237.660361842103</v>
      </c>
      <c r="E8" s="31">
        <f>D8*(1+E7)</f>
        <v>27900.736019736843</v>
      </c>
      <c r="F8" s="31">
        <f>E8*(1+F7)</f>
        <v>34312.465049342107</v>
      </c>
      <c r="G8" s="31">
        <f>F8*(1+G7)</f>
        <v>42511.706414473694</v>
      </c>
      <c r="H8" s="31">
        <f>G8*(1+H7)</f>
        <v>48185.115131578954</v>
      </c>
    </row>
    <row r="12" spans="2:10" ht="19.95" customHeight="1" x14ac:dyDescent="0.3">
      <c r="B12" s="26" t="s">
        <v>46</v>
      </c>
      <c r="C12" s="26" t="s">
        <v>35</v>
      </c>
      <c r="D12" s="26" t="s">
        <v>36</v>
      </c>
      <c r="E12" s="26" t="s">
        <v>4</v>
      </c>
      <c r="F12" s="26" t="s">
        <v>5</v>
      </c>
      <c r="G12" s="26" t="s">
        <v>6</v>
      </c>
      <c r="H12" s="26" t="s">
        <v>7</v>
      </c>
      <c r="I12" s="26" t="s">
        <v>8</v>
      </c>
    </row>
    <row r="13" spans="2:10" ht="19.95" customHeight="1" x14ac:dyDescent="0.3">
      <c r="B13" s="22" t="s">
        <v>37</v>
      </c>
      <c r="C13" s="21">
        <v>10.875</v>
      </c>
      <c r="D13" s="21">
        <v>13.45</v>
      </c>
      <c r="E13" s="21">
        <v>16.45</v>
      </c>
      <c r="F13" s="21">
        <v>19.45</v>
      </c>
      <c r="G13" s="21">
        <v>24.7</v>
      </c>
      <c r="H13" s="21">
        <v>30</v>
      </c>
      <c r="I13" s="21">
        <v>32</v>
      </c>
    </row>
    <row r="14" spans="2:10" ht="19.95" customHeight="1" x14ac:dyDescent="0.3">
      <c r="B14" s="22" t="s">
        <v>38</v>
      </c>
      <c r="C14" s="21" t="s">
        <v>39</v>
      </c>
      <c r="D14" s="21" t="s">
        <v>39</v>
      </c>
      <c r="E14" s="21" t="s">
        <v>40</v>
      </c>
      <c r="F14" s="21" t="s">
        <v>41</v>
      </c>
      <c r="G14" s="21" t="s">
        <v>44</v>
      </c>
      <c r="H14" s="21" t="s">
        <v>42</v>
      </c>
      <c r="I14" s="21" t="s">
        <v>43</v>
      </c>
    </row>
    <row r="15" spans="2:10" ht="19.95" customHeight="1" x14ac:dyDescent="0.3"/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DD11-50DC-410B-9A85-3C4D752AAFCD}">
  <dimension ref="B2:H35"/>
  <sheetViews>
    <sheetView showGridLines="0" zoomScaleNormal="100" workbookViewId="0">
      <selection activeCell="D1048570" sqref="D1048570"/>
    </sheetView>
  </sheetViews>
  <sheetFormatPr defaultColWidth="8.6640625" defaultRowHeight="14.4" x14ac:dyDescent="0.3"/>
  <cols>
    <col min="2" max="2" width="61.44140625" bestFit="1" customWidth="1"/>
    <col min="3" max="8" width="13" customWidth="1"/>
  </cols>
  <sheetData>
    <row r="2" spans="2:8" ht="17.399999999999999" x14ac:dyDescent="0.3">
      <c r="B2" s="68" t="s">
        <v>77</v>
      </c>
      <c r="C2" s="68"/>
      <c r="D2" s="68"/>
      <c r="E2" s="68"/>
      <c r="F2" s="68"/>
      <c r="G2" s="68"/>
      <c r="H2" s="68"/>
    </row>
    <row r="4" spans="2:8" x14ac:dyDescent="0.3">
      <c r="B4" s="57" t="s">
        <v>78</v>
      </c>
    </row>
    <row r="5" spans="2:8" x14ac:dyDescent="0.3">
      <c r="B5" s="38" t="s">
        <v>79</v>
      </c>
      <c r="C5" s="58">
        <v>130000</v>
      </c>
    </row>
    <row r="6" spans="2:8" x14ac:dyDescent="0.3">
      <c r="B6" s="38" t="s">
        <v>80</v>
      </c>
      <c r="C6" s="58">
        <v>18523</v>
      </c>
    </row>
    <row r="7" spans="2:8" x14ac:dyDescent="0.3">
      <c r="B7" s="38" t="s">
        <v>81</v>
      </c>
      <c r="C7" s="59">
        <f>C5-C6</f>
        <v>111477</v>
      </c>
    </row>
    <row r="9" spans="2:8" x14ac:dyDescent="0.3">
      <c r="B9" s="57" t="s">
        <v>82</v>
      </c>
    </row>
    <row r="10" spans="2:8" x14ac:dyDescent="0.3">
      <c r="B10" s="38" t="s">
        <v>83</v>
      </c>
      <c r="C10" s="58">
        <v>20000</v>
      </c>
    </row>
    <row r="11" spans="2:8" x14ac:dyDescent="0.3">
      <c r="B11" s="38" t="s">
        <v>84</v>
      </c>
      <c r="C11" s="59">
        <f>C7-C10</f>
        <v>91477</v>
      </c>
    </row>
    <row r="13" spans="2:8" x14ac:dyDescent="0.3">
      <c r="B13" s="57" t="s">
        <v>93</v>
      </c>
    </row>
    <row r="14" spans="2:8" x14ac:dyDescent="0.3">
      <c r="B14" s="60"/>
      <c r="C14" s="61" t="s">
        <v>5</v>
      </c>
      <c r="D14" s="61" t="s">
        <v>6</v>
      </c>
      <c r="E14" s="61" t="s">
        <v>7</v>
      </c>
    </row>
    <row r="15" spans="2:8" x14ac:dyDescent="0.3">
      <c r="B15" s="38" t="s">
        <v>76</v>
      </c>
      <c r="C15" s="62">
        <f>'Revenue Build'!F13-'Revenue Build'!E13</f>
        <v>3</v>
      </c>
      <c r="D15" s="62">
        <f>'Revenue Build'!G13-'Revenue Build'!F13</f>
        <v>5.25</v>
      </c>
      <c r="E15" s="62">
        <f>'Revenue Build'!H13-'Revenue Build'!G13</f>
        <v>5.3000000000000007</v>
      </c>
    </row>
    <row r="16" spans="2:8" x14ac:dyDescent="0.3">
      <c r="B16" s="38" t="s">
        <v>85</v>
      </c>
      <c r="C16" s="63">
        <f>C15/SUM($C$15:$E$15)</f>
        <v>0.22140221402214022</v>
      </c>
      <c r="D16" s="63">
        <f>D15/SUM($C$15:$E$15)</f>
        <v>0.38745387453874536</v>
      </c>
      <c r="E16" s="63">
        <f>E15/SUM($C$15:$E$15)</f>
        <v>0.39114391143911442</v>
      </c>
    </row>
    <row r="17" spans="2:7" x14ac:dyDescent="0.3">
      <c r="B17" s="38" t="s">
        <v>86</v>
      </c>
      <c r="C17" s="59">
        <f>C16*$C$11</f>
        <v>20253.210332103321</v>
      </c>
      <c r="D17" s="59">
        <f>D16*$C$11</f>
        <v>35443.118081180808</v>
      </c>
      <c r="E17" s="59">
        <f>E16*$C$11</f>
        <v>35780.671586715871</v>
      </c>
    </row>
    <row r="19" spans="2:7" x14ac:dyDescent="0.3">
      <c r="B19" s="57" t="s">
        <v>87</v>
      </c>
    </row>
    <row r="20" spans="2:7" x14ac:dyDescent="0.3">
      <c r="B20" s="38" t="s">
        <v>88</v>
      </c>
      <c r="C20" s="64">
        <f>C10+SUM(C17:E17)</f>
        <v>111477</v>
      </c>
    </row>
    <row r="21" spans="2:7" x14ac:dyDescent="0.3">
      <c r="B21" s="38" t="s">
        <v>89</v>
      </c>
      <c r="C21" s="62">
        <f>'[1]Capacity Build'!C5+SUM('[1]Capacity Build'!D5:F5)</f>
        <v>16.55</v>
      </c>
    </row>
    <row r="22" spans="2:7" x14ac:dyDescent="0.3">
      <c r="B22" s="38" t="s">
        <v>90</v>
      </c>
      <c r="C22" s="65">
        <f>C20/C21</f>
        <v>6735.7703927492448</v>
      </c>
    </row>
    <row r="23" spans="2:7" x14ac:dyDescent="0.3">
      <c r="B23" s="38" t="s">
        <v>91</v>
      </c>
      <c r="C23" s="62">
        <f>'[1]Capacity Build'!G5</f>
        <v>2</v>
      </c>
    </row>
    <row r="24" spans="2:7" x14ac:dyDescent="0.3">
      <c r="B24" s="38" t="s">
        <v>92</v>
      </c>
      <c r="C24" s="59">
        <f>C22*C23</f>
        <v>13471.54078549849</v>
      </c>
    </row>
    <row r="26" spans="2:7" x14ac:dyDescent="0.3">
      <c r="B26" s="57" t="s">
        <v>94</v>
      </c>
    </row>
    <row r="27" spans="2:7" x14ac:dyDescent="0.3">
      <c r="B27" s="60"/>
      <c r="C27" s="61" t="s">
        <v>4</v>
      </c>
      <c r="D27" s="61" t="s">
        <v>5</v>
      </c>
      <c r="E27" s="61" t="s">
        <v>6</v>
      </c>
      <c r="F27" s="61" t="s">
        <v>7</v>
      </c>
      <c r="G27" s="61" t="s">
        <v>8</v>
      </c>
    </row>
    <row r="28" spans="2:7" x14ac:dyDescent="0.3">
      <c r="B28" s="66" t="s">
        <v>0</v>
      </c>
      <c r="C28" s="67">
        <f>C10</f>
        <v>20000</v>
      </c>
      <c r="D28" s="67">
        <f>C17</f>
        <v>20253.210332103321</v>
      </c>
      <c r="E28" s="67">
        <f>D17</f>
        <v>35443.118081180808</v>
      </c>
      <c r="F28" s="67">
        <f>E17</f>
        <v>35780.671586715871</v>
      </c>
      <c r="G28" s="67">
        <f>C24</f>
        <v>13471.54078549849</v>
      </c>
    </row>
    <row r="31" spans="2:7" ht="30" customHeight="1" x14ac:dyDescent="0.3"/>
    <row r="32" spans="2:7" ht="30" customHeight="1" x14ac:dyDescent="0.3"/>
    <row r="33" ht="30" customHeight="1" x14ac:dyDescent="0.3"/>
    <row r="34" ht="30" customHeight="1" x14ac:dyDescent="0.3"/>
    <row r="35" ht="30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9"/>
  <sheetViews>
    <sheetView showGridLines="0" zoomScaleNormal="100" workbookViewId="0">
      <selection activeCell="D6" sqref="D6"/>
    </sheetView>
  </sheetViews>
  <sheetFormatPr defaultColWidth="8.6640625" defaultRowHeight="14.4" x14ac:dyDescent="0.3"/>
  <cols>
    <col min="1" max="1" width="3" customWidth="1"/>
    <col min="2" max="2" width="40.109375" bestFit="1" customWidth="1"/>
    <col min="4" max="8" width="10.44140625" bestFit="1" customWidth="1"/>
    <col min="9" max="9" width="3" customWidth="1"/>
    <col min="10" max="10" width="89.6640625" bestFit="1" customWidth="1"/>
  </cols>
  <sheetData>
    <row r="2" spans="2:10" ht="25.5" customHeight="1" x14ac:dyDescent="0.3">
      <c r="B2" s="87" t="s">
        <v>45</v>
      </c>
      <c r="C2" s="86"/>
      <c r="D2" s="86"/>
      <c r="E2" s="86"/>
      <c r="F2" s="86"/>
      <c r="G2" s="86"/>
      <c r="H2" s="86"/>
      <c r="I2" s="86"/>
      <c r="J2" s="86"/>
    </row>
    <row r="4" spans="2:10" ht="19.5" customHeight="1" x14ac:dyDescent="0.3">
      <c r="B4" s="25" t="s">
        <v>2</v>
      </c>
      <c r="D4" s="25" t="s">
        <v>4</v>
      </c>
      <c r="E4" s="25" t="s">
        <v>5</v>
      </c>
      <c r="F4" s="25" t="s">
        <v>6</v>
      </c>
      <c r="G4" s="25" t="s">
        <v>7</v>
      </c>
      <c r="H4" s="25" t="s">
        <v>8</v>
      </c>
      <c r="J4" s="44" t="s">
        <v>75</v>
      </c>
    </row>
    <row r="5" spans="2:10" ht="15" customHeight="1" x14ac:dyDescent="0.3">
      <c r="B5" s="1" t="s">
        <v>14</v>
      </c>
      <c r="D5" s="24">
        <v>0.05</v>
      </c>
      <c r="E5" s="24">
        <v>0.05</v>
      </c>
      <c r="F5" s="24">
        <v>0.05</v>
      </c>
      <c r="G5" s="24">
        <v>0.05</v>
      </c>
      <c r="H5" s="24">
        <v>0.05</v>
      </c>
      <c r="J5" s="3" t="s">
        <v>15</v>
      </c>
    </row>
    <row r="6" spans="2:10" ht="15" customHeight="1" x14ac:dyDescent="0.3">
      <c r="B6" s="5" t="s">
        <v>0</v>
      </c>
      <c r="D6" s="69">
        <f>'Capex Projection'!C28</f>
        <v>20000</v>
      </c>
      <c r="E6" s="69">
        <f>'Capex Projection'!D28</f>
        <v>20253.210332103321</v>
      </c>
      <c r="F6" s="69">
        <f>'Capex Projection'!E28</f>
        <v>35443.118081180808</v>
      </c>
      <c r="G6" s="69">
        <f>'Capex Projection'!F28</f>
        <v>35780.671586715871</v>
      </c>
      <c r="H6" s="69">
        <f>'Capex Projection'!G28</f>
        <v>13471.54078549849</v>
      </c>
    </row>
    <row r="7" spans="2:10" ht="15" customHeight="1" x14ac:dyDescent="0.3">
      <c r="B7" s="1" t="s">
        <v>16</v>
      </c>
      <c r="D7" s="7">
        <v>91988</v>
      </c>
      <c r="E7" s="8">
        <f>D9</f>
        <v>107388.6</v>
      </c>
      <c r="F7" s="8">
        <f>E9</f>
        <v>122272.38033210332</v>
      </c>
      <c r="G7" s="8">
        <f>F9</f>
        <v>151601.87939667897</v>
      </c>
      <c r="H7" s="8">
        <f>G9</f>
        <v>179802.4570135609</v>
      </c>
    </row>
    <row r="8" spans="2:10" ht="15" customHeight="1" x14ac:dyDescent="0.3">
      <c r="B8" s="1" t="s">
        <v>17</v>
      </c>
      <c r="D8" s="8">
        <f>D7*D5</f>
        <v>4599.4000000000005</v>
      </c>
      <c r="E8" s="8">
        <f>E7*E5</f>
        <v>5369.43</v>
      </c>
      <c r="F8" s="8">
        <f>F7*F5</f>
        <v>6113.6190166051665</v>
      </c>
      <c r="G8" s="8">
        <f>G7*G5</f>
        <v>7580.0939698339489</v>
      </c>
      <c r="H8" s="8">
        <f>H7*H5</f>
        <v>8990.1228506780444</v>
      </c>
    </row>
    <row r="9" spans="2:10" ht="15" customHeight="1" x14ac:dyDescent="0.3">
      <c r="B9" s="5" t="s">
        <v>18</v>
      </c>
      <c r="D9" s="6">
        <f>D7+D6-D8</f>
        <v>107388.6</v>
      </c>
      <c r="E9" s="6">
        <f>E7+E6-E8</f>
        <v>122272.38033210332</v>
      </c>
      <c r="F9" s="6">
        <f>F7+F6-F8</f>
        <v>151601.87939667897</v>
      </c>
      <c r="G9" s="6">
        <f>G7+G6-G8</f>
        <v>179802.4570135609</v>
      </c>
      <c r="H9" s="6">
        <f>H7+H6-H8</f>
        <v>184283.87494838133</v>
      </c>
    </row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199B-59DB-4BE8-BF18-CB40B5A1C9AD}">
  <dimension ref="A1:E251"/>
  <sheetViews>
    <sheetView showGridLines="0" topLeftCell="A224" zoomScaleNormal="100" workbookViewId="0">
      <selection activeCell="B4" sqref="B4"/>
    </sheetView>
  </sheetViews>
  <sheetFormatPr defaultColWidth="8.6640625" defaultRowHeight="14.4" x14ac:dyDescent="0.3"/>
  <cols>
    <col min="1" max="1" width="11.77734375" bestFit="1" customWidth="1"/>
    <col min="2" max="2" width="22.33203125" bestFit="1" customWidth="1"/>
    <col min="3" max="3" width="15.88671875" bestFit="1" customWidth="1"/>
  </cols>
  <sheetData>
    <row r="1" spans="1:5" ht="17.399999999999999" x14ac:dyDescent="0.3">
      <c r="A1" s="75" t="s">
        <v>109</v>
      </c>
      <c r="B1" s="75"/>
      <c r="C1" s="75"/>
    </row>
    <row r="2" spans="1:5" x14ac:dyDescent="0.3">
      <c r="A2" s="88"/>
      <c r="B2" s="88"/>
      <c r="C2" s="88"/>
    </row>
    <row r="4" spans="1:5" x14ac:dyDescent="0.3">
      <c r="A4" s="81" t="s">
        <v>101</v>
      </c>
      <c r="B4" s="81" t="s">
        <v>108</v>
      </c>
      <c r="C4" s="81" t="s">
        <v>107</v>
      </c>
    </row>
    <row r="5" spans="1:5" x14ac:dyDescent="0.3">
      <c r="A5" s="82">
        <v>45908</v>
      </c>
      <c r="B5" s="83">
        <v>510.2</v>
      </c>
      <c r="C5" s="83">
        <v>24773.15</v>
      </c>
      <c r="E5" s="84"/>
    </row>
    <row r="6" spans="1:5" x14ac:dyDescent="0.3">
      <c r="A6" s="82">
        <v>45909</v>
      </c>
      <c r="B6" s="83">
        <v>506.1</v>
      </c>
      <c r="C6" s="83">
        <v>24868.6</v>
      </c>
      <c r="E6" s="84"/>
    </row>
    <row r="7" spans="1:5" x14ac:dyDescent="0.3">
      <c r="A7" s="82">
        <v>45910</v>
      </c>
      <c r="B7" s="83">
        <v>519</v>
      </c>
      <c r="C7" s="83">
        <v>24973.1</v>
      </c>
      <c r="E7" s="84"/>
    </row>
    <row r="8" spans="1:5" x14ac:dyDescent="0.3">
      <c r="A8" s="82">
        <v>45911</v>
      </c>
      <c r="B8" s="83">
        <v>521.54999999999995</v>
      </c>
      <c r="C8" s="83">
        <v>25005.5</v>
      </c>
      <c r="E8" s="84"/>
    </row>
    <row r="9" spans="1:5" x14ac:dyDescent="0.3">
      <c r="A9" s="82">
        <v>45912</v>
      </c>
      <c r="B9" s="83">
        <v>525.75</v>
      </c>
      <c r="C9" s="83">
        <v>25114</v>
      </c>
      <c r="E9" s="84"/>
    </row>
    <row r="10" spans="1:5" x14ac:dyDescent="0.3">
      <c r="A10" s="82">
        <v>45915</v>
      </c>
      <c r="B10" s="83">
        <v>532</v>
      </c>
      <c r="C10" s="83">
        <v>25069.200000000001</v>
      </c>
      <c r="E10" s="84"/>
    </row>
    <row r="11" spans="1:5" x14ac:dyDescent="0.3">
      <c r="A11" s="82">
        <v>45916</v>
      </c>
      <c r="B11" s="83">
        <v>540.04999999999995</v>
      </c>
      <c r="C11" s="83">
        <v>25239.1</v>
      </c>
      <c r="E11" s="84"/>
    </row>
    <row r="12" spans="1:5" x14ac:dyDescent="0.3">
      <c r="A12" s="82">
        <v>45917</v>
      </c>
      <c r="B12" s="83">
        <v>535</v>
      </c>
      <c r="C12" s="83">
        <v>25330.25</v>
      </c>
      <c r="E12" s="84"/>
    </row>
    <row r="13" spans="1:5" x14ac:dyDescent="0.3">
      <c r="A13" s="82">
        <v>45918</v>
      </c>
      <c r="B13" s="83">
        <v>537.79999999999995</v>
      </c>
      <c r="C13" s="83">
        <v>25423.599999999999</v>
      </c>
      <c r="E13" s="84"/>
    </row>
    <row r="14" spans="1:5" x14ac:dyDescent="0.3">
      <c r="A14" s="82">
        <v>45919</v>
      </c>
      <c r="B14" s="83">
        <v>545.5</v>
      </c>
      <c r="C14" s="83">
        <v>25327.05</v>
      </c>
      <c r="E14" s="84"/>
    </row>
    <row r="15" spans="1:5" x14ac:dyDescent="0.3">
      <c r="A15" s="82">
        <v>45922</v>
      </c>
      <c r="B15" s="83">
        <v>542.95000000000005</v>
      </c>
      <c r="C15" s="83">
        <v>25202.35</v>
      </c>
      <c r="E15" s="84"/>
    </row>
    <row r="16" spans="1:5" x14ac:dyDescent="0.3">
      <c r="A16" s="82">
        <v>45923</v>
      </c>
      <c r="B16" s="83">
        <v>543.85</v>
      </c>
      <c r="C16" s="83">
        <v>25169.5</v>
      </c>
      <c r="E16" s="84"/>
    </row>
    <row r="17" spans="1:5" x14ac:dyDescent="0.3">
      <c r="A17" s="82">
        <v>45924</v>
      </c>
      <c r="B17" s="83">
        <v>535.15</v>
      </c>
      <c r="C17" s="83">
        <v>25056.9</v>
      </c>
      <c r="E17" s="84"/>
    </row>
    <row r="18" spans="1:5" x14ac:dyDescent="0.3">
      <c r="A18" s="82">
        <v>45925</v>
      </c>
      <c r="B18" s="83">
        <v>520</v>
      </c>
      <c r="C18" s="83">
        <v>24890.85</v>
      </c>
      <c r="E18" s="84"/>
    </row>
    <row r="19" spans="1:5" x14ac:dyDescent="0.3">
      <c r="A19" s="82">
        <v>45926</v>
      </c>
      <c r="B19" s="83">
        <v>520.1</v>
      </c>
      <c r="C19" s="83">
        <v>24654.7</v>
      </c>
      <c r="E19" s="84"/>
    </row>
    <row r="20" spans="1:5" x14ac:dyDescent="0.3">
      <c r="A20" s="82">
        <v>45929</v>
      </c>
      <c r="B20" s="83">
        <v>528.54999999999995</v>
      </c>
      <c r="C20" s="83">
        <v>24634.9</v>
      </c>
      <c r="E20" s="84"/>
    </row>
    <row r="21" spans="1:5" x14ac:dyDescent="0.3">
      <c r="A21" s="82">
        <v>45930</v>
      </c>
      <c r="B21" s="83">
        <v>530.85</v>
      </c>
      <c r="C21" s="83">
        <v>24611.1</v>
      </c>
      <c r="E21" s="84"/>
    </row>
    <row r="22" spans="1:5" x14ac:dyDescent="0.3">
      <c r="A22" s="82">
        <v>45931</v>
      </c>
      <c r="B22" s="83">
        <v>536.45000000000005</v>
      </c>
      <c r="C22" s="83">
        <v>24836.3</v>
      </c>
      <c r="E22" s="84"/>
    </row>
    <row r="23" spans="1:5" x14ac:dyDescent="0.3">
      <c r="A23" s="82">
        <v>45933</v>
      </c>
      <c r="B23" s="83">
        <v>539.9</v>
      </c>
      <c r="C23" s="83">
        <v>24894.25</v>
      </c>
      <c r="E23" s="84"/>
    </row>
    <row r="24" spans="1:5" x14ac:dyDescent="0.3">
      <c r="A24" s="82">
        <v>45936</v>
      </c>
      <c r="B24" s="83">
        <v>541</v>
      </c>
      <c r="C24" s="83">
        <v>25077.65</v>
      </c>
      <c r="E24" s="84"/>
    </row>
    <row r="25" spans="1:5" x14ac:dyDescent="0.3">
      <c r="A25" s="82">
        <v>45937</v>
      </c>
      <c r="B25" s="83">
        <v>548.04999999999995</v>
      </c>
      <c r="C25" s="83">
        <v>25108.3</v>
      </c>
      <c r="E25" s="84"/>
    </row>
    <row r="26" spans="1:5" x14ac:dyDescent="0.3">
      <c r="A26" s="82">
        <v>45938</v>
      </c>
      <c r="B26" s="83">
        <v>534.45000000000005</v>
      </c>
      <c r="C26" s="83">
        <v>25046.15</v>
      </c>
      <c r="E26" s="84"/>
    </row>
    <row r="27" spans="1:5" x14ac:dyDescent="0.3">
      <c r="A27" s="82">
        <v>45939</v>
      </c>
      <c r="B27" s="83">
        <v>542.79999999999995</v>
      </c>
      <c r="C27" s="83">
        <v>25181.8</v>
      </c>
      <c r="E27" s="84"/>
    </row>
    <row r="28" spans="1:5" x14ac:dyDescent="0.3">
      <c r="A28" s="82">
        <v>45940</v>
      </c>
      <c r="B28" s="83">
        <v>509</v>
      </c>
      <c r="C28" s="83">
        <v>25285.35</v>
      </c>
      <c r="E28" s="84"/>
    </row>
    <row r="29" spans="1:5" x14ac:dyDescent="0.3">
      <c r="A29" s="82">
        <v>45943</v>
      </c>
      <c r="B29" s="83">
        <v>544.45000000000005</v>
      </c>
      <c r="C29" s="83">
        <v>25227.35</v>
      </c>
      <c r="E29" s="84"/>
    </row>
    <row r="30" spans="1:5" x14ac:dyDescent="0.3">
      <c r="A30" s="82">
        <v>45944</v>
      </c>
      <c r="B30" s="83">
        <v>541.04999999999995</v>
      </c>
      <c r="C30" s="83">
        <v>25145.5</v>
      </c>
      <c r="E30" s="84"/>
    </row>
    <row r="31" spans="1:5" x14ac:dyDescent="0.3">
      <c r="A31" s="82">
        <v>45945</v>
      </c>
      <c r="B31" s="83">
        <v>545.75</v>
      </c>
      <c r="C31" s="83">
        <v>25323.55</v>
      </c>
      <c r="E31" s="84"/>
    </row>
    <row r="32" spans="1:5" x14ac:dyDescent="0.3">
      <c r="A32" s="82">
        <v>45946</v>
      </c>
      <c r="B32" s="83">
        <v>548.6</v>
      </c>
      <c r="C32" s="83">
        <v>25585.3</v>
      </c>
      <c r="E32" s="84"/>
    </row>
    <row r="33" spans="1:5" x14ac:dyDescent="0.3">
      <c r="A33" s="82">
        <v>45947</v>
      </c>
      <c r="B33" s="83">
        <v>540.79999999999995</v>
      </c>
      <c r="C33" s="83">
        <v>25709.85</v>
      </c>
      <c r="E33" s="84"/>
    </row>
    <row r="34" spans="1:5" x14ac:dyDescent="0.3">
      <c r="A34" s="82">
        <v>45950</v>
      </c>
      <c r="B34" s="83">
        <v>525.20000000000005</v>
      </c>
      <c r="C34" s="83">
        <v>25843.15</v>
      </c>
      <c r="E34" s="84"/>
    </row>
    <row r="35" spans="1:5" x14ac:dyDescent="0.3">
      <c r="A35" s="82">
        <v>45951</v>
      </c>
      <c r="B35" s="83">
        <v>530.07000000000005</v>
      </c>
      <c r="C35" s="83">
        <v>25868.6</v>
      </c>
      <c r="E35" s="84"/>
    </row>
    <row r="36" spans="1:5" x14ac:dyDescent="0.3">
      <c r="A36" s="82">
        <v>45953</v>
      </c>
      <c r="B36" s="83">
        <v>533.29999999999995</v>
      </c>
      <c r="C36" s="83">
        <v>25891.4</v>
      </c>
      <c r="E36" s="84"/>
    </row>
    <row r="37" spans="1:5" x14ac:dyDescent="0.3">
      <c r="A37" s="82">
        <v>45954</v>
      </c>
      <c r="B37" s="83">
        <v>531.15</v>
      </c>
      <c r="C37" s="83">
        <v>25795.15</v>
      </c>
      <c r="E37" s="84"/>
    </row>
    <row r="38" spans="1:5" x14ac:dyDescent="0.3">
      <c r="A38" s="82">
        <v>45957</v>
      </c>
      <c r="B38" s="83">
        <v>529.35</v>
      </c>
      <c r="C38" s="83">
        <v>25966.05</v>
      </c>
      <c r="E38" s="84"/>
    </row>
    <row r="39" spans="1:5" x14ac:dyDescent="0.3">
      <c r="A39" s="82">
        <v>45958</v>
      </c>
      <c r="B39" s="83">
        <v>536.35</v>
      </c>
      <c r="C39" s="83">
        <v>25936.2</v>
      </c>
      <c r="E39" s="84"/>
    </row>
    <row r="40" spans="1:5" x14ac:dyDescent="0.3">
      <c r="A40" s="82">
        <v>45959</v>
      </c>
      <c r="B40" s="83">
        <v>534.45000000000005</v>
      </c>
      <c r="C40" s="83">
        <v>26053.9</v>
      </c>
      <c r="E40" s="84"/>
    </row>
    <row r="41" spans="1:5" x14ac:dyDescent="0.3">
      <c r="A41" s="82">
        <v>45960</v>
      </c>
      <c r="B41" s="83">
        <v>538.15</v>
      </c>
      <c r="C41" s="83">
        <v>25877.85</v>
      </c>
      <c r="E41" s="84"/>
    </row>
    <row r="42" spans="1:5" x14ac:dyDescent="0.3">
      <c r="A42" s="82">
        <v>45961</v>
      </c>
      <c r="B42" s="83">
        <v>527.45000000000005</v>
      </c>
      <c r="C42" s="83">
        <v>25722.1</v>
      </c>
      <c r="E42" s="84"/>
    </row>
    <row r="43" spans="1:5" x14ac:dyDescent="0.3">
      <c r="A43" s="82">
        <v>45964</v>
      </c>
      <c r="B43" s="83">
        <v>532.9</v>
      </c>
      <c r="C43" s="83">
        <v>25763.35</v>
      </c>
      <c r="E43" s="84"/>
    </row>
    <row r="44" spans="1:5" x14ac:dyDescent="0.3">
      <c r="A44" s="82">
        <v>45965</v>
      </c>
      <c r="B44" s="83">
        <v>528.1</v>
      </c>
      <c r="C44" s="83">
        <v>25597.65</v>
      </c>
      <c r="E44" s="84"/>
    </row>
    <row r="45" spans="1:5" x14ac:dyDescent="0.3">
      <c r="A45" s="82">
        <v>45967</v>
      </c>
      <c r="B45" s="83">
        <v>517.35</v>
      </c>
      <c r="C45" s="83">
        <v>25509.7</v>
      </c>
      <c r="E45" s="84"/>
    </row>
    <row r="46" spans="1:5" x14ac:dyDescent="0.3">
      <c r="A46" s="82">
        <v>45968</v>
      </c>
      <c r="B46" s="83">
        <v>519.15</v>
      </c>
      <c r="C46" s="83">
        <v>25492.3</v>
      </c>
      <c r="E46" s="84"/>
    </row>
    <row r="47" spans="1:5" x14ac:dyDescent="0.3">
      <c r="A47" s="82">
        <v>45971</v>
      </c>
      <c r="B47" s="83">
        <v>515</v>
      </c>
      <c r="C47" s="83">
        <v>25574.35</v>
      </c>
      <c r="E47" s="84"/>
    </row>
    <row r="48" spans="1:5" x14ac:dyDescent="0.3">
      <c r="A48" s="82">
        <v>45972</v>
      </c>
      <c r="B48" s="83">
        <v>526.85</v>
      </c>
      <c r="C48" s="83">
        <v>25694.95</v>
      </c>
      <c r="E48" s="84"/>
    </row>
    <row r="49" spans="1:5" x14ac:dyDescent="0.3">
      <c r="A49" s="82">
        <v>45973</v>
      </c>
      <c r="B49" s="83">
        <v>528.04999999999995</v>
      </c>
      <c r="C49" s="83">
        <v>25875.8</v>
      </c>
      <c r="E49" s="84"/>
    </row>
    <row r="50" spans="1:5" x14ac:dyDescent="0.3">
      <c r="A50" s="82">
        <v>45974</v>
      </c>
      <c r="B50" s="83">
        <v>528.29999999999995</v>
      </c>
      <c r="C50" s="83">
        <v>25879.15</v>
      </c>
      <c r="E50" s="84"/>
    </row>
    <row r="51" spans="1:5" x14ac:dyDescent="0.3">
      <c r="A51" s="82">
        <v>45975</v>
      </c>
      <c r="B51" s="83">
        <v>550</v>
      </c>
      <c r="C51" s="83">
        <v>25910.05</v>
      </c>
      <c r="E51" s="84"/>
    </row>
    <row r="52" spans="1:5" x14ac:dyDescent="0.3">
      <c r="A52" s="82">
        <v>45978</v>
      </c>
      <c r="B52" s="83">
        <v>527.65</v>
      </c>
      <c r="C52" s="83">
        <v>26013.45</v>
      </c>
      <c r="E52" s="84"/>
    </row>
    <row r="53" spans="1:5" x14ac:dyDescent="0.3">
      <c r="A53" s="82">
        <v>45979</v>
      </c>
      <c r="B53" s="83">
        <v>526.95000000000005</v>
      </c>
      <c r="C53" s="83">
        <v>25910.05</v>
      </c>
      <c r="E53" s="84"/>
    </row>
    <row r="54" spans="1:5" x14ac:dyDescent="0.3">
      <c r="A54" s="82">
        <v>45980</v>
      </c>
      <c r="B54" s="83">
        <v>513.65</v>
      </c>
      <c r="C54" s="83">
        <v>26052.65</v>
      </c>
      <c r="E54" s="84"/>
    </row>
    <row r="55" spans="1:5" x14ac:dyDescent="0.3">
      <c r="A55" s="82">
        <v>45981</v>
      </c>
      <c r="B55" s="83">
        <v>504.85</v>
      </c>
      <c r="C55" s="83">
        <v>26192.15</v>
      </c>
      <c r="E55" s="84"/>
    </row>
    <row r="56" spans="1:5" x14ac:dyDescent="0.3">
      <c r="A56" s="82">
        <v>45982</v>
      </c>
      <c r="B56" s="83">
        <v>484.55</v>
      </c>
      <c r="C56" s="83">
        <v>26068.15</v>
      </c>
      <c r="E56" s="84"/>
    </row>
    <row r="57" spans="1:5" x14ac:dyDescent="0.3">
      <c r="A57" s="82">
        <v>45985</v>
      </c>
      <c r="B57" s="83">
        <v>481</v>
      </c>
      <c r="C57" s="83">
        <v>25959.5</v>
      </c>
      <c r="E57" s="84"/>
    </row>
    <row r="58" spans="1:5" x14ac:dyDescent="0.3">
      <c r="A58" s="82">
        <v>45986</v>
      </c>
      <c r="B58" s="83">
        <v>476.6</v>
      </c>
      <c r="C58" s="83">
        <v>25884.799999999999</v>
      </c>
      <c r="E58" s="84"/>
    </row>
    <row r="59" spans="1:5" x14ac:dyDescent="0.3">
      <c r="A59" s="82">
        <v>45987</v>
      </c>
      <c r="B59" s="83">
        <v>487.25</v>
      </c>
      <c r="C59" s="83">
        <v>26205.3</v>
      </c>
      <c r="E59" s="84"/>
    </row>
    <row r="60" spans="1:5" x14ac:dyDescent="0.3">
      <c r="A60" s="82">
        <v>45988</v>
      </c>
      <c r="B60" s="83">
        <v>488</v>
      </c>
      <c r="C60" s="83">
        <v>26215.55</v>
      </c>
      <c r="E60" s="84"/>
    </row>
    <row r="61" spans="1:5" x14ac:dyDescent="0.3">
      <c r="A61" s="82">
        <v>45989</v>
      </c>
      <c r="B61" s="83">
        <v>488.65</v>
      </c>
      <c r="C61" s="83">
        <v>26202.95</v>
      </c>
      <c r="E61" s="84"/>
    </row>
    <row r="62" spans="1:5" x14ac:dyDescent="0.3">
      <c r="A62" s="82">
        <v>45992</v>
      </c>
      <c r="B62" s="83">
        <v>491.8</v>
      </c>
      <c r="C62" s="83">
        <v>26175.75</v>
      </c>
      <c r="E62" s="84"/>
    </row>
    <row r="63" spans="1:5" x14ac:dyDescent="0.3">
      <c r="A63" s="82">
        <v>45993</v>
      </c>
      <c r="B63" s="83">
        <v>484.15</v>
      </c>
      <c r="C63" s="83">
        <v>26032.2</v>
      </c>
      <c r="E63" s="84"/>
    </row>
    <row r="64" spans="1:5" x14ac:dyDescent="0.3">
      <c r="A64" s="82">
        <v>45994</v>
      </c>
      <c r="B64" s="83">
        <v>470.2</v>
      </c>
      <c r="C64" s="83">
        <v>25986</v>
      </c>
      <c r="E64" s="84"/>
    </row>
    <row r="65" spans="1:5" x14ac:dyDescent="0.3">
      <c r="A65" s="82">
        <v>45995</v>
      </c>
      <c r="B65" s="83">
        <v>459.85</v>
      </c>
      <c r="C65" s="83">
        <v>26033.75</v>
      </c>
      <c r="E65" s="84"/>
    </row>
    <row r="66" spans="1:5" x14ac:dyDescent="0.3">
      <c r="A66" s="82">
        <v>45996</v>
      </c>
      <c r="B66" s="83">
        <v>461.95</v>
      </c>
      <c r="C66" s="83">
        <v>26186.45</v>
      </c>
      <c r="E66" s="84"/>
    </row>
    <row r="67" spans="1:5" x14ac:dyDescent="0.3">
      <c r="A67" s="82">
        <v>45999</v>
      </c>
      <c r="B67" s="83">
        <v>453.85</v>
      </c>
      <c r="C67" s="83">
        <v>25960.55</v>
      </c>
      <c r="E67" s="84"/>
    </row>
    <row r="68" spans="1:5" x14ac:dyDescent="0.3">
      <c r="A68" s="82">
        <v>46000</v>
      </c>
      <c r="B68" s="83">
        <v>451.2</v>
      </c>
      <c r="C68" s="83">
        <v>25839.65</v>
      </c>
      <c r="E68" s="84"/>
    </row>
    <row r="69" spans="1:5" x14ac:dyDescent="0.3">
      <c r="A69" s="82">
        <v>46001</v>
      </c>
      <c r="B69" s="83">
        <v>451.15</v>
      </c>
      <c r="C69" s="83">
        <v>25758</v>
      </c>
      <c r="E69" s="84"/>
    </row>
    <row r="70" spans="1:5" x14ac:dyDescent="0.3">
      <c r="A70" s="82">
        <v>46002</v>
      </c>
      <c r="B70" s="83">
        <v>457.8</v>
      </c>
      <c r="C70" s="83">
        <v>25898.55</v>
      </c>
      <c r="E70" s="84"/>
    </row>
    <row r="71" spans="1:5" x14ac:dyDescent="0.3">
      <c r="A71" s="82">
        <v>46003</v>
      </c>
      <c r="B71" s="83">
        <v>482.2</v>
      </c>
      <c r="C71" s="83">
        <v>26046.95</v>
      </c>
      <c r="E71" s="84"/>
    </row>
    <row r="72" spans="1:5" x14ac:dyDescent="0.3">
      <c r="A72" s="82">
        <v>46006</v>
      </c>
      <c r="B72" s="83">
        <v>486.45</v>
      </c>
      <c r="C72" s="83">
        <v>26027.3</v>
      </c>
      <c r="E72" s="84"/>
    </row>
    <row r="73" spans="1:5" x14ac:dyDescent="0.3">
      <c r="A73" s="82">
        <v>46007</v>
      </c>
      <c r="B73" s="83">
        <v>478.5</v>
      </c>
      <c r="C73" s="83">
        <v>25860.1</v>
      </c>
      <c r="E73" s="84"/>
    </row>
    <row r="74" spans="1:5" x14ac:dyDescent="0.3">
      <c r="A74" s="82">
        <v>46008</v>
      </c>
      <c r="B74" s="83">
        <v>475.25</v>
      </c>
      <c r="C74" s="83">
        <v>25818.55</v>
      </c>
      <c r="E74" s="84"/>
    </row>
    <row r="75" spans="1:5" x14ac:dyDescent="0.3">
      <c r="A75" s="82">
        <v>46009</v>
      </c>
      <c r="B75" s="83">
        <v>472</v>
      </c>
      <c r="C75" s="83">
        <v>25815.55</v>
      </c>
      <c r="E75" s="84"/>
    </row>
    <row r="76" spans="1:5" x14ac:dyDescent="0.3">
      <c r="A76" s="82">
        <v>46010</v>
      </c>
      <c r="B76" s="83">
        <v>478.25</v>
      </c>
      <c r="C76" s="83">
        <v>25966.400000000001</v>
      </c>
      <c r="E76" s="84"/>
    </row>
    <row r="77" spans="1:5" x14ac:dyDescent="0.3">
      <c r="A77" s="82">
        <v>46013</v>
      </c>
      <c r="B77" s="83">
        <v>478.95</v>
      </c>
      <c r="C77" s="83">
        <v>26172.400000000001</v>
      </c>
      <c r="E77" s="84"/>
    </row>
    <row r="78" spans="1:5" x14ac:dyDescent="0.3">
      <c r="A78" s="82">
        <v>46014</v>
      </c>
      <c r="B78" s="83">
        <v>485.65</v>
      </c>
      <c r="C78" s="83">
        <v>26177.15</v>
      </c>
      <c r="E78" s="84"/>
    </row>
    <row r="79" spans="1:5" x14ac:dyDescent="0.3">
      <c r="A79" s="82">
        <v>46015</v>
      </c>
      <c r="B79" s="83">
        <v>484.35</v>
      </c>
      <c r="C79" s="83">
        <v>26142.1</v>
      </c>
      <c r="E79" s="84"/>
    </row>
    <row r="80" spans="1:5" x14ac:dyDescent="0.3">
      <c r="A80" s="82">
        <v>46017</v>
      </c>
      <c r="B80" s="83">
        <v>479.4</v>
      </c>
      <c r="C80" s="83">
        <v>26042.3</v>
      </c>
      <c r="E80" s="84"/>
    </row>
    <row r="81" spans="1:5" x14ac:dyDescent="0.3">
      <c r="A81" s="82">
        <v>46020</v>
      </c>
      <c r="B81" s="83">
        <v>471.15</v>
      </c>
      <c r="C81" s="83">
        <v>25942.1</v>
      </c>
      <c r="E81" s="84"/>
    </row>
    <row r="82" spans="1:5" x14ac:dyDescent="0.3">
      <c r="A82" s="82">
        <v>46021</v>
      </c>
      <c r="B82" s="83">
        <v>469.75</v>
      </c>
      <c r="C82" s="83">
        <v>25938.85</v>
      </c>
      <c r="E82" s="84"/>
    </row>
    <row r="83" spans="1:5" x14ac:dyDescent="0.3">
      <c r="A83" s="82">
        <v>46022</v>
      </c>
      <c r="B83" s="83">
        <v>482.45</v>
      </c>
      <c r="C83" s="83">
        <v>26129.599999999999</v>
      </c>
      <c r="E83" s="84"/>
    </row>
    <row r="84" spans="1:5" x14ac:dyDescent="0.3">
      <c r="A84" s="82">
        <v>46023</v>
      </c>
      <c r="B84" s="83">
        <v>502</v>
      </c>
      <c r="C84" s="83">
        <v>26146.55</v>
      </c>
      <c r="E84" s="84"/>
    </row>
    <row r="85" spans="1:5" x14ac:dyDescent="0.3">
      <c r="A85" s="82">
        <v>46024</v>
      </c>
      <c r="B85" s="83">
        <v>510.65</v>
      </c>
      <c r="C85" s="83">
        <v>26328.55</v>
      </c>
      <c r="E85" s="84"/>
    </row>
    <row r="86" spans="1:5" x14ac:dyDescent="0.3">
      <c r="A86" s="82">
        <v>46027</v>
      </c>
      <c r="B86" s="83">
        <v>516.9</v>
      </c>
      <c r="C86" s="83">
        <v>26250.3</v>
      </c>
      <c r="E86" s="84"/>
    </row>
    <row r="87" spans="1:5" x14ac:dyDescent="0.3">
      <c r="A87" s="82">
        <v>46028</v>
      </c>
      <c r="B87" s="83">
        <v>514.85</v>
      </c>
      <c r="C87" s="83">
        <v>26178.7</v>
      </c>
      <c r="E87" s="84"/>
    </row>
    <row r="88" spans="1:5" x14ac:dyDescent="0.3">
      <c r="A88" s="82">
        <v>46029</v>
      </c>
      <c r="B88" s="83">
        <v>512.6</v>
      </c>
      <c r="C88" s="83">
        <v>26140.75</v>
      </c>
      <c r="E88" s="84"/>
    </row>
    <row r="89" spans="1:5" x14ac:dyDescent="0.3">
      <c r="A89" s="82">
        <v>46030</v>
      </c>
      <c r="B89" s="83">
        <v>499.7</v>
      </c>
      <c r="C89" s="83">
        <v>25876.85</v>
      </c>
      <c r="E89" s="84"/>
    </row>
    <row r="90" spans="1:5" x14ac:dyDescent="0.3">
      <c r="A90" s="82">
        <v>46031</v>
      </c>
      <c r="B90" s="83">
        <v>490.25</v>
      </c>
      <c r="C90" s="83">
        <v>25683.3</v>
      </c>
      <c r="E90" s="84"/>
    </row>
    <row r="91" spans="1:5" x14ac:dyDescent="0.3">
      <c r="A91" s="82">
        <v>46034</v>
      </c>
      <c r="B91" s="83">
        <v>498.8</v>
      </c>
      <c r="C91" s="83">
        <v>25790.25</v>
      </c>
      <c r="E91" s="84"/>
    </row>
    <row r="92" spans="1:5" x14ac:dyDescent="0.3">
      <c r="A92" s="82">
        <v>46035</v>
      </c>
      <c r="B92" s="83">
        <v>494.15</v>
      </c>
      <c r="C92" s="83">
        <v>25732.3</v>
      </c>
      <c r="E92" s="84"/>
    </row>
    <row r="93" spans="1:5" x14ac:dyDescent="0.3">
      <c r="A93" s="82">
        <v>46036</v>
      </c>
      <c r="B93" s="83">
        <v>494.65</v>
      </c>
      <c r="C93" s="83">
        <v>25665.599999999999</v>
      </c>
      <c r="E93" s="84"/>
    </row>
    <row r="94" spans="1:5" x14ac:dyDescent="0.3">
      <c r="A94" s="82">
        <v>46038</v>
      </c>
      <c r="B94" s="83">
        <v>492.8</v>
      </c>
      <c r="C94" s="83">
        <v>25694.35</v>
      </c>
      <c r="E94" s="84"/>
    </row>
    <row r="95" spans="1:5" x14ac:dyDescent="0.3">
      <c r="A95" s="82">
        <v>46041</v>
      </c>
      <c r="B95" s="83">
        <v>486.35</v>
      </c>
      <c r="C95" s="83">
        <v>25585.5</v>
      </c>
      <c r="E95" s="84"/>
    </row>
    <row r="96" spans="1:5" x14ac:dyDescent="0.3">
      <c r="A96" s="82">
        <v>46042</v>
      </c>
      <c r="B96" s="83">
        <v>479.1</v>
      </c>
      <c r="C96" s="83">
        <v>25232.5</v>
      </c>
      <c r="E96" s="84"/>
    </row>
    <row r="97" spans="1:5" x14ac:dyDescent="0.3">
      <c r="A97" s="82">
        <v>46043</v>
      </c>
      <c r="B97" s="83">
        <v>477.8</v>
      </c>
      <c r="C97" s="83">
        <v>25157.5</v>
      </c>
      <c r="E97" s="84"/>
    </row>
    <row r="98" spans="1:5" x14ac:dyDescent="0.3">
      <c r="A98" s="82">
        <v>46044</v>
      </c>
      <c r="B98" s="83">
        <v>492.35</v>
      </c>
      <c r="C98" s="83">
        <v>25289.9</v>
      </c>
      <c r="E98" s="84"/>
    </row>
    <row r="99" spans="1:5" x14ac:dyDescent="0.3">
      <c r="A99" s="82">
        <v>46045</v>
      </c>
      <c r="B99" s="83">
        <v>477.65</v>
      </c>
      <c r="C99" s="83">
        <v>25048.65</v>
      </c>
      <c r="E99" s="84"/>
    </row>
    <row r="100" spans="1:5" x14ac:dyDescent="0.3">
      <c r="A100" s="82">
        <v>46049</v>
      </c>
      <c r="B100" s="83">
        <v>440.05</v>
      </c>
      <c r="C100" s="83">
        <v>25175.4</v>
      </c>
      <c r="E100" s="84"/>
    </row>
    <row r="101" spans="1:5" x14ac:dyDescent="0.3">
      <c r="A101" s="82">
        <v>46050</v>
      </c>
      <c r="B101" s="83">
        <v>446.25</v>
      </c>
      <c r="C101" s="83">
        <v>25342.75</v>
      </c>
      <c r="E101" s="84"/>
    </row>
    <row r="102" spans="1:5" x14ac:dyDescent="0.3">
      <c r="A102" s="82">
        <v>46051</v>
      </c>
      <c r="B102" s="83">
        <v>459</v>
      </c>
      <c r="C102" s="83">
        <v>25418.9</v>
      </c>
      <c r="E102" s="84"/>
    </row>
    <row r="103" spans="1:5" x14ac:dyDescent="0.3">
      <c r="A103" s="82">
        <v>46052</v>
      </c>
      <c r="B103" s="83">
        <v>459.8</v>
      </c>
      <c r="C103" s="83">
        <v>25320.65</v>
      </c>
      <c r="E103" s="84"/>
    </row>
    <row r="104" spans="1:5" x14ac:dyDescent="0.3">
      <c r="A104" s="82">
        <v>46054</v>
      </c>
      <c r="B104" s="83">
        <v>440.8</v>
      </c>
      <c r="C104" s="83">
        <v>24825.45</v>
      </c>
      <c r="E104" s="84"/>
    </row>
    <row r="105" spans="1:5" x14ac:dyDescent="0.3">
      <c r="A105" s="82">
        <v>46055</v>
      </c>
      <c r="B105" s="83">
        <v>451.5</v>
      </c>
      <c r="C105" s="83">
        <v>25088.400000000001</v>
      </c>
      <c r="E105" s="84"/>
    </row>
    <row r="106" spans="1:5" x14ac:dyDescent="0.3">
      <c r="A106" s="82">
        <v>46056</v>
      </c>
      <c r="B106" s="83">
        <v>459.15</v>
      </c>
      <c r="C106" s="83">
        <v>25727.55</v>
      </c>
      <c r="E106" s="84"/>
    </row>
    <row r="107" spans="1:5" x14ac:dyDescent="0.3">
      <c r="A107" s="82">
        <v>46057</v>
      </c>
      <c r="B107" s="83">
        <v>468.85</v>
      </c>
      <c r="C107" s="83">
        <v>25776</v>
      </c>
      <c r="E107" s="84"/>
    </row>
    <row r="108" spans="1:5" x14ac:dyDescent="0.3">
      <c r="A108" s="82">
        <v>46058</v>
      </c>
      <c r="B108" s="83">
        <v>473.95</v>
      </c>
      <c r="C108" s="83">
        <v>25642.799999999999</v>
      </c>
      <c r="E108" s="84"/>
    </row>
    <row r="109" spans="1:5" x14ac:dyDescent="0.3">
      <c r="A109" s="82">
        <v>46059</v>
      </c>
      <c r="B109" s="83">
        <v>473.15</v>
      </c>
      <c r="C109" s="83">
        <v>25693.7</v>
      </c>
      <c r="E109" s="84"/>
    </row>
    <row r="110" spans="1:5" x14ac:dyDescent="0.3">
      <c r="A110" s="82">
        <v>46062</v>
      </c>
      <c r="B110" s="83">
        <v>480.1</v>
      </c>
      <c r="C110" s="83">
        <v>25867.3</v>
      </c>
      <c r="E110" s="84"/>
    </row>
    <row r="111" spans="1:5" x14ac:dyDescent="0.3">
      <c r="A111" s="82">
        <v>46063</v>
      </c>
      <c r="B111" s="83">
        <v>483.7</v>
      </c>
      <c r="C111" s="83">
        <v>25935.15</v>
      </c>
      <c r="E111" s="84"/>
    </row>
    <row r="112" spans="1:5" x14ac:dyDescent="0.3">
      <c r="A112" s="82">
        <v>46064</v>
      </c>
      <c r="B112" s="83">
        <v>482.35</v>
      </c>
      <c r="C112" s="83">
        <v>25953.85</v>
      </c>
      <c r="E112" s="84"/>
    </row>
    <row r="113" spans="1:5" x14ac:dyDescent="0.3">
      <c r="A113" s="82">
        <v>46065</v>
      </c>
      <c r="B113" s="83">
        <v>479.5</v>
      </c>
      <c r="C113" s="83">
        <v>25807.200000000001</v>
      </c>
      <c r="E113" s="84"/>
    </row>
    <row r="114" spans="1:5" x14ac:dyDescent="0.3">
      <c r="A114" s="82">
        <v>46066</v>
      </c>
      <c r="B114" s="83">
        <v>474.7</v>
      </c>
      <c r="C114" s="83">
        <v>25471.1</v>
      </c>
      <c r="E114" s="84"/>
    </row>
    <row r="115" spans="1:5" x14ac:dyDescent="0.3">
      <c r="A115" s="82">
        <v>46069</v>
      </c>
      <c r="B115" s="83">
        <v>489.95</v>
      </c>
      <c r="C115" s="83">
        <v>25682.75</v>
      </c>
      <c r="E115" s="84"/>
    </row>
    <row r="116" spans="1:5" x14ac:dyDescent="0.3">
      <c r="A116" s="82">
        <v>46070</v>
      </c>
      <c r="B116" s="83">
        <v>487.35</v>
      </c>
      <c r="C116" s="83">
        <v>25725.4</v>
      </c>
      <c r="E116" s="84"/>
    </row>
    <row r="117" spans="1:5" x14ac:dyDescent="0.3">
      <c r="A117" s="82">
        <v>46071</v>
      </c>
      <c r="B117" s="83">
        <v>486.25</v>
      </c>
      <c r="C117" s="83">
        <v>25819.35</v>
      </c>
      <c r="E117" s="84"/>
    </row>
    <row r="118" spans="1:5" x14ac:dyDescent="0.3">
      <c r="A118" s="82">
        <v>46072</v>
      </c>
      <c r="B118" s="83">
        <v>480.1</v>
      </c>
      <c r="C118" s="83">
        <v>25454.35</v>
      </c>
      <c r="E118" s="84"/>
    </row>
    <row r="119" spans="1:5" x14ac:dyDescent="0.3">
      <c r="A119" s="82">
        <v>46073</v>
      </c>
      <c r="B119" s="83">
        <v>493.95</v>
      </c>
      <c r="C119" s="83">
        <v>25571.25</v>
      </c>
      <c r="E119" s="84"/>
    </row>
    <row r="120" spans="1:5" x14ac:dyDescent="0.3">
      <c r="A120" s="82">
        <v>46076</v>
      </c>
      <c r="B120" s="83">
        <v>486.4</v>
      </c>
      <c r="C120" s="83">
        <v>25713</v>
      </c>
      <c r="E120" s="84"/>
    </row>
    <row r="121" spans="1:5" x14ac:dyDescent="0.3">
      <c r="A121" s="82">
        <v>46077</v>
      </c>
      <c r="B121" s="83">
        <v>490.25</v>
      </c>
      <c r="C121" s="83">
        <v>25424.65</v>
      </c>
      <c r="E121" s="84"/>
    </row>
    <row r="122" spans="1:5" x14ac:dyDescent="0.3">
      <c r="A122" s="82">
        <v>46078</v>
      </c>
      <c r="B122" s="83">
        <v>490.05</v>
      </c>
      <c r="C122" s="83">
        <v>25482.5</v>
      </c>
      <c r="E122" s="84"/>
    </row>
    <row r="123" spans="1:5" x14ac:dyDescent="0.3">
      <c r="A123" s="82">
        <v>46079</v>
      </c>
      <c r="B123" s="83">
        <v>498.65</v>
      </c>
      <c r="C123" s="83">
        <v>25496.55</v>
      </c>
      <c r="E123" s="84"/>
    </row>
    <row r="124" spans="1:5" x14ac:dyDescent="0.3">
      <c r="A124" s="82">
        <v>46080</v>
      </c>
      <c r="B124" s="83">
        <v>487.75</v>
      </c>
      <c r="C124" s="83">
        <v>25178.65</v>
      </c>
      <c r="E124" s="84"/>
    </row>
    <row r="125" spans="1:5" x14ac:dyDescent="0.3">
      <c r="A125" s="82">
        <v>46083</v>
      </c>
      <c r="B125" s="83">
        <v>481.3</v>
      </c>
      <c r="C125" s="83">
        <v>24865.7</v>
      </c>
      <c r="E125" s="84"/>
    </row>
    <row r="126" spans="1:5" x14ac:dyDescent="0.3">
      <c r="A126" s="82">
        <v>46085</v>
      </c>
      <c r="B126" s="83">
        <v>468.05</v>
      </c>
      <c r="C126" s="83">
        <v>24480.5</v>
      </c>
      <c r="E126" s="84"/>
    </row>
    <row r="127" spans="1:5" x14ac:dyDescent="0.3">
      <c r="A127" s="82">
        <v>46086</v>
      </c>
      <c r="B127" s="83">
        <v>479.5</v>
      </c>
      <c r="C127" s="83">
        <v>24765.9</v>
      </c>
      <c r="E127" s="84"/>
    </row>
    <row r="128" spans="1:5" x14ac:dyDescent="0.3">
      <c r="A128" s="82">
        <v>46087</v>
      </c>
      <c r="B128" s="83">
        <v>488.2</v>
      </c>
      <c r="C128" s="83">
        <v>24450.45</v>
      </c>
      <c r="E128" s="84"/>
    </row>
    <row r="129" spans="1:5" x14ac:dyDescent="0.3">
      <c r="A129" s="82">
        <v>46090</v>
      </c>
      <c r="B129" s="83">
        <v>478.9</v>
      </c>
      <c r="C129" s="83">
        <v>24028.05</v>
      </c>
      <c r="E129" s="84"/>
    </row>
    <row r="130" spans="1:5" x14ac:dyDescent="0.3">
      <c r="A130" s="82">
        <v>46091</v>
      </c>
      <c r="B130" s="83">
        <v>488.7</v>
      </c>
      <c r="C130" s="83">
        <v>24261.599999999999</v>
      </c>
      <c r="E130" s="84"/>
    </row>
    <row r="131" spans="1:5" x14ac:dyDescent="0.3">
      <c r="A131" s="82">
        <v>46092</v>
      </c>
      <c r="B131" s="83">
        <v>488</v>
      </c>
      <c r="C131" s="83">
        <v>23866.85</v>
      </c>
      <c r="E131" s="84"/>
    </row>
    <row r="132" spans="1:5" x14ac:dyDescent="0.3">
      <c r="A132" s="82">
        <v>46093</v>
      </c>
      <c r="B132" s="83">
        <v>518.29999999999995</v>
      </c>
      <c r="C132" s="83">
        <v>23639.15</v>
      </c>
      <c r="E132" s="84"/>
    </row>
    <row r="133" spans="1:5" x14ac:dyDescent="0.3">
      <c r="A133" s="82">
        <v>46094</v>
      </c>
      <c r="B133" s="83">
        <v>512.95000000000005</v>
      </c>
      <c r="C133" s="83">
        <v>23151.1</v>
      </c>
      <c r="E133" s="84"/>
    </row>
    <row r="134" spans="1:5" x14ac:dyDescent="0.3">
      <c r="A134" s="82">
        <v>46097</v>
      </c>
      <c r="B134" s="83">
        <v>505.15</v>
      </c>
      <c r="C134" s="83">
        <v>23408.799999999999</v>
      </c>
      <c r="E134" s="84"/>
    </row>
    <row r="135" spans="1:5" x14ac:dyDescent="0.3">
      <c r="A135" s="82">
        <v>46098</v>
      </c>
      <c r="B135" s="83">
        <v>505.8</v>
      </c>
      <c r="C135" s="83">
        <v>23581.15</v>
      </c>
      <c r="E135" s="84"/>
    </row>
    <row r="136" spans="1:5" x14ac:dyDescent="0.3">
      <c r="A136" s="82">
        <v>46099</v>
      </c>
      <c r="B136" s="83">
        <v>509.1</v>
      </c>
      <c r="C136" s="83">
        <v>23777.8</v>
      </c>
      <c r="E136" s="84"/>
    </row>
    <row r="137" spans="1:5" x14ac:dyDescent="0.3">
      <c r="A137" s="82">
        <v>46100</v>
      </c>
      <c r="B137" s="83">
        <v>505.9</v>
      </c>
      <c r="C137" s="83">
        <v>23002.15</v>
      </c>
      <c r="E137" s="84"/>
    </row>
    <row r="138" spans="1:5" x14ac:dyDescent="0.3">
      <c r="A138" s="82">
        <v>46101</v>
      </c>
      <c r="B138" s="83">
        <v>507.05</v>
      </c>
      <c r="C138" s="83">
        <v>23114.5</v>
      </c>
      <c r="E138" s="84"/>
    </row>
    <row r="139" spans="1:5" x14ac:dyDescent="0.3">
      <c r="A139" s="82">
        <v>46104</v>
      </c>
      <c r="B139" s="83">
        <v>482.7</v>
      </c>
      <c r="C139" s="83">
        <v>22512.65</v>
      </c>
      <c r="E139" s="84"/>
    </row>
    <row r="140" spans="1:5" x14ac:dyDescent="0.3">
      <c r="A140" s="82">
        <v>46105</v>
      </c>
      <c r="B140" s="83">
        <v>484</v>
      </c>
      <c r="C140" s="83">
        <v>22912.400000000001</v>
      </c>
      <c r="E140" s="84"/>
    </row>
    <row r="141" spans="1:5" x14ac:dyDescent="0.3">
      <c r="A141" s="82">
        <v>46106</v>
      </c>
      <c r="B141" s="83">
        <v>494.3</v>
      </c>
      <c r="C141" s="83">
        <v>23306.45</v>
      </c>
      <c r="E141" s="84"/>
    </row>
    <row r="142" spans="1:5" x14ac:dyDescent="0.3">
      <c r="A142" s="82">
        <v>46108</v>
      </c>
      <c r="B142" s="83">
        <v>484.8</v>
      </c>
      <c r="C142" s="83">
        <v>22819.599999999999</v>
      </c>
      <c r="E142" s="84"/>
    </row>
    <row r="143" spans="1:5" x14ac:dyDescent="0.3">
      <c r="A143" s="82">
        <v>46111</v>
      </c>
      <c r="B143" s="83">
        <v>471.6</v>
      </c>
      <c r="C143" s="83">
        <v>22331.4</v>
      </c>
      <c r="E143" s="84"/>
    </row>
    <row r="144" spans="1:5" x14ac:dyDescent="0.3">
      <c r="A144" s="82">
        <v>46113</v>
      </c>
      <c r="B144" s="83">
        <v>484.15</v>
      </c>
      <c r="C144" s="83">
        <v>22679.4</v>
      </c>
      <c r="E144" s="84"/>
    </row>
    <row r="145" spans="1:5" x14ac:dyDescent="0.3">
      <c r="A145" s="82">
        <v>46114</v>
      </c>
      <c r="B145" s="83">
        <v>491.1</v>
      </c>
      <c r="C145" s="83">
        <v>22713.1</v>
      </c>
      <c r="E145" s="84"/>
    </row>
    <row r="146" spans="1:5" x14ac:dyDescent="0.3">
      <c r="A146" s="82">
        <v>46118</v>
      </c>
      <c r="B146" s="83">
        <v>496.7</v>
      </c>
      <c r="C146" s="83">
        <v>22968.25</v>
      </c>
      <c r="E146" s="84"/>
    </row>
    <row r="147" spans="1:5" x14ac:dyDescent="0.3">
      <c r="A147" s="82">
        <v>46119</v>
      </c>
      <c r="B147" s="83">
        <v>487.8</v>
      </c>
      <c r="C147" s="83">
        <v>23123.65</v>
      </c>
      <c r="E147" s="84"/>
    </row>
    <row r="148" spans="1:5" x14ac:dyDescent="0.3">
      <c r="A148" s="82">
        <v>46120</v>
      </c>
      <c r="B148" s="83">
        <v>502.05</v>
      </c>
      <c r="C148" s="83">
        <v>23997.35</v>
      </c>
      <c r="E148" s="84"/>
    </row>
    <row r="149" spans="1:5" x14ac:dyDescent="0.3">
      <c r="A149" s="82">
        <v>46121</v>
      </c>
      <c r="B149" s="83">
        <v>489.15</v>
      </c>
      <c r="C149" s="83">
        <v>23775.1</v>
      </c>
      <c r="E149" s="84"/>
    </row>
    <row r="150" spans="1:5" x14ac:dyDescent="0.3">
      <c r="A150" s="82">
        <v>46122</v>
      </c>
      <c r="B150" s="83">
        <v>488.85</v>
      </c>
      <c r="C150" s="83">
        <v>24050.6</v>
      </c>
      <c r="E150" s="84"/>
    </row>
    <row r="151" spans="1:5" x14ac:dyDescent="0.3">
      <c r="A151" s="82">
        <v>46125</v>
      </c>
      <c r="B151" s="83">
        <v>509.6</v>
      </c>
      <c r="C151" s="83">
        <v>23842.65</v>
      </c>
      <c r="E151" s="84"/>
    </row>
    <row r="152" spans="1:5" x14ac:dyDescent="0.3">
      <c r="A152" s="82">
        <v>46127</v>
      </c>
      <c r="B152" s="83">
        <v>528.20000000000005</v>
      </c>
      <c r="C152" s="83">
        <v>24231.3</v>
      </c>
      <c r="E152" s="84"/>
    </row>
    <row r="153" spans="1:5" x14ac:dyDescent="0.3">
      <c r="A153" s="82">
        <v>46128</v>
      </c>
      <c r="B153" s="83">
        <v>535.95000000000005</v>
      </c>
      <c r="C153" s="83">
        <v>24196.75</v>
      </c>
      <c r="E153" s="84"/>
    </row>
    <row r="154" spans="1:5" x14ac:dyDescent="0.3">
      <c r="A154" s="82">
        <v>46129</v>
      </c>
      <c r="B154" s="83">
        <v>538.04999999999995</v>
      </c>
      <c r="C154" s="83">
        <v>24353.55</v>
      </c>
      <c r="E154" s="84"/>
    </row>
    <row r="155" spans="1:5" x14ac:dyDescent="0.3">
      <c r="A155" s="82">
        <v>46132</v>
      </c>
      <c r="B155" s="83">
        <v>543.04999999999995</v>
      </c>
      <c r="C155" s="83">
        <v>24364.85</v>
      </c>
      <c r="E155" s="84"/>
    </row>
    <row r="156" spans="1:5" x14ac:dyDescent="0.3">
      <c r="A156" s="82">
        <v>46133</v>
      </c>
      <c r="B156" s="83">
        <v>546.65</v>
      </c>
      <c r="C156" s="83">
        <v>24576.6</v>
      </c>
      <c r="E156" s="84"/>
    </row>
    <row r="157" spans="1:5" x14ac:dyDescent="0.3">
      <c r="A157" s="82">
        <v>46134</v>
      </c>
      <c r="B157" s="83">
        <v>560.54999999999995</v>
      </c>
      <c r="C157" s="83">
        <v>24378.1</v>
      </c>
      <c r="E157" s="84"/>
    </row>
    <row r="158" spans="1:5" x14ac:dyDescent="0.3">
      <c r="A158" s="82">
        <v>46135</v>
      </c>
      <c r="B158" s="83">
        <v>561.4</v>
      </c>
      <c r="C158" s="83">
        <v>24173.05</v>
      </c>
      <c r="E158" s="84"/>
    </row>
    <row r="159" spans="1:5" x14ac:dyDescent="0.3">
      <c r="A159" s="82">
        <v>46136</v>
      </c>
      <c r="B159" s="83">
        <v>544.95000000000005</v>
      </c>
      <c r="C159" s="83">
        <v>23897.95</v>
      </c>
      <c r="E159" s="84"/>
    </row>
    <row r="160" spans="1:5" x14ac:dyDescent="0.3">
      <c r="A160" s="82">
        <v>46139</v>
      </c>
      <c r="B160" s="83">
        <v>573.79999999999995</v>
      </c>
      <c r="C160" s="83">
        <v>24092.7</v>
      </c>
      <c r="E160" s="84"/>
    </row>
    <row r="161" spans="1:5" x14ac:dyDescent="0.3">
      <c r="A161" s="82">
        <v>46140</v>
      </c>
      <c r="B161" s="83">
        <v>580.9</v>
      </c>
      <c r="C161" s="83">
        <v>23995.7</v>
      </c>
      <c r="E161" s="84"/>
    </row>
    <row r="162" spans="1:5" x14ac:dyDescent="0.3">
      <c r="A162" s="82">
        <v>46141</v>
      </c>
      <c r="B162" s="83">
        <v>560.4</v>
      </c>
      <c r="C162" s="83">
        <v>24177.65</v>
      </c>
      <c r="E162" s="84"/>
    </row>
    <row r="163" spans="1:5" x14ac:dyDescent="0.3">
      <c r="A163" s="82">
        <v>46142</v>
      </c>
      <c r="B163" s="83">
        <v>561.15</v>
      </c>
      <c r="C163" s="83">
        <v>23997.55</v>
      </c>
      <c r="E163" s="84"/>
    </row>
    <row r="164" spans="1:5" x14ac:dyDescent="0.3">
      <c r="A164" s="82">
        <v>46146</v>
      </c>
      <c r="B164" s="83">
        <v>562.29999999999995</v>
      </c>
      <c r="C164" s="83">
        <v>24119.3</v>
      </c>
      <c r="E164" s="84"/>
    </row>
    <row r="165" spans="1:5" x14ac:dyDescent="0.3">
      <c r="A165" s="82">
        <v>46147</v>
      </c>
      <c r="B165" s="83">
        <v>561.95000000000005</v>
      </c>
      <c r="C165" s="83">
        <v>24032.799999999999</v>
      </c>
      <c r="E165" s="84"/>
    </row>
    <row r="166" spans="1:5" x14ac:dyDescent="0.3">
      <c r="A166" s="82">
        <v>46148</v>
      </c>
      <c r="B166" s="83">
        <v>567.9</v>
      </c>
      <c r="C166" s="83">
        <v>24330.95</v>
      </c>
      <c r="E166" s="84"/>
    </row>
    <row r="167" spans="1:5" x14ac:dyDescent="0.3">
      <c r="A167" s="82">
        <v>46149</v>
      </c>
      <c r="B167" s="83">
        <v>575.9</v>
      </c>
      <c r="C167" s="83">
        <v>24326.65</v>
      </c>
      <c r="E167" s="84"/>
    </row>
    <row r="168" spans="1:5" x14ac:dyDescent="0.3">
      <c r="A168" s="82">
        <v>46150</v>
      </c>
      <c r="B168" s="83">
        <v>571.20000000000005</v>
      </c>
      <c r="C168" s="83">
        <v>24176.15</v>
      </c>
      <c r="E168" s="84"/>
    </row>
    <row r="169" spans="1:5" x14ac:dyDescent="0.3">
      <c r="A169" s="82">
        <v>46153</v>
      </c>
      <c r="B169" s="83">
        <v>556.65</v>
      </c>
      <c r="C169" s="83">
        <v>23815.85</v>
      </c>
      <c r="E169" s="84"/>
    </row>
    <row r="170" spans="1:5" x14ac:dyDescent="0.3">
      <c r="A170" s="82">
        <v>46154</v>
      </c>
      <c r="B170" s="83">
        <v>517.95000000000005</v>
      </c>
      <c r="C170" s="83">
        <v>23379.55</v>
      </c>
      <c r="E170" s="84"/>
    </row>
    <row r="171" spans="1:5" x14ac:dyDescent="0.3">
      <c r="A171" s="82">
        <v>46155</v>
      </c>
      <c r="B171" s="83">
        <v>509.2</v>
      </c>
      <c r="C171" s="83">
        <v>23412.6</v>
      </c>
      <c r="E171" s="84"/>
    </row>
    <row r="172" spans="1:5" x14ac:dyDescent="0.3">
      <c r="A172" s="82">
        <v>46156</v>
      </c>
      <c r="B172" s="83">
        <v>512.79999999999995</v>
      </c>
      <c r="C172" s="83">
        <v>23689.599999999999</v>
      </c>
      <c r="E172" s="84"/>
    </row>
    <row r="173" spans="1:5" x14ac:dyDescent="0.3">
      <c r="A173" s="82">
        <v>46157</v>
      </c>
      <c r="B173" s="83">
        <v>515.04999999999995</v>
      </c>
      <c r="C173" s="83">
        <v>23643.5</v>
      </c>
      <c r="E173" s="84"/>
    </row>
    <row r="174" spans="1:5" x14ac:dyDescent="0.3">
      <c r="A174" s="82">
        <v>46160</v>
      </c>
      <c r="B174" s="83">
        <v>529.04999999999995</v>
      </c>
      <c r="C174" s="83">
        <v>23649.95</v>
      </c>
      <c r="E174" s="84"/>
    </row>
    <row r="175" spans="1:5" x14ac:dyDescent="0.3">
      <c r="A175" s="82">
        <v>46161</v>
      </c>
      <c r="B175" s="83">
        <v>533.15</v>
      </c>
      <c r="C175" s="83">
        <v>23618</v>
      </c>
      <c r="E175" s="84"/>
    </row>
    <row r="176" spans="1:5" x14ac:dyDescent="0.3">
      <c r="A176" s="82">
        <v>46162</v>
      </c>
      <c r="B176" s="83">
        <v>537.1</v>
      </c>
      <c r="C176" s="83">
        <v>23659</v>
      </c>
      <c r="E176" s="84"/>
    </row>
    <row r="177" spans="1:5" x14ac:dyDescent="0.3">
      <c r="A177" s="82">
        <v>46163</v>
      </c>
      <c r="B177" s="83">
        <v>548.45000000000005</v>
      </c>
      <c r="C177" s="83">
        <v>23654.7</v>
      </c>
      <c r="E177" s="84"/>
    </row>
    <row r="178" spans="1:5" x14ac:dyDescent="0.3">
      <c r="A178" s="82">
        <v>46164</v>
      </c>
      <c r="B178" s="83">
        <v>551.25</v>
      </c>
      <c r="C178" s="83">
        <v>23719.3</v>
      </c>
      <c r="E178" s="84"/>
    </row>
    <row r="179" spans="1:5" x14ac:dyDescent="0.3">
      <c r="A179" s="82">
        <v>46167</v>
      </c>
      <c r="B179" s="83">
        <v>557.04999999999995</v>
      </c>
      <c r="C179" s="83">
        <v>24031.7</v>
      </c>
      <c r="E179" s="84"/>
    </row>
    <row r="180" spans="1:5" x14ac:dyDescent="0.3">
      <c r="A180" s="82">
        <v>46168</v>
      </c>
      <c r="B180" s="83">
        <v>576</v>
      </c>
      <c r="C180" s="83">
        <v>23913.7</v>
      </c>
      <c r="E180" s="84"/>
    </row>
    <row r="181" spans="1:5" x14ac:dyDescent="0.3">
      <c r="A181" s="82">
        <v>46169</v>
      </c>
      <c r="B181" s="83">
        <v>602.04999999999995</v>
      </c>
      <c r="C181" s="83">
        <v>23907.15</v>
      </c>
      <c r="E181" s="84"/>
    </row>
    <row r="182" spans="1:5" x14ac:dyDescent="0.3">
      <c r="A182" s="82">
        <v>46171</v>
      </c>
      <c r="B182" s="83">
        <v>595.04999999999995</v>
      </c>
      <c r="C182" s="83">
        <v>23547.75</v>
      </c>
      <c r="E182" s="84"/>
    </row>
    <row r="183" spans="1:5" x14ac:dyDescent="0.3">
      <c r="A183" s="82">
        <v>46174</v>
      </c>
      <c r="B183" s="83">
        <v>583.45000000000005</v>
      </c>
      <c r="C183" s="83">
        <v>23382.6</v>
      </c>
      <c r="E183" s="84"/>
    </row>
    <row r="184" spans="1:5" x14ac:dyDescent="0.3">
      <c r="A184" s="82">
        <v>46175</v>
      </c>
      <c r="B184" s="83">
        <v>588.54999999999995</v>
      </c>
      <c r="C184" s="83">
        <v>23483.55</v>
      </c>
      <c r="E184" s="84"/>
    </row>
    <row r="185" spans="1:5" x14ac:dyDescent="0.3">
      <c r="A185" s="82">
        <v>46176</v>
      </c>
      <c r="B185" s="83">
        <v>580.20000000000005</v>
      </c>
      <c r="C185" s="83">
        <v>23405.599999999999</v>
      </c>
      <c r="E185" s="84"/>
    </row>
    <row r="186" spans="1:5" x14ac:dyDescent="0.3">
      <c r="A186" s="82">
        <v>46177</v>
      </c>
      <c r="B186" s="83">
        <v>590.04999999999995</v>
      </c>
      <c r="C186" s="83">
        <v>23416.55</v>
      </c>
      <c r="E186" s="84"/>
    </row>
    <row r="187" spans="1:5" x14ac:dyDescent="0.3">
      <c r="A187" s="82">
        <v>46178</v>
      </c>
      <c r="B187" s="83">
        <v>584.20000000000005</v>
      </c>
      <c r="C187" s="83">
        <v>23366.7</v>
      </c>
      <c r="E187" s="84"/>
    </row>
    <row r="188" spans="1:5" x14ac:dyDescent="0.3">
      <c r="A188" s="82">
        <v>46181</v>
      </c>
      <c r="B188" s="83">
        <v>570.95000000000005</v>
      </c>
      <c r="C188" s="83">
        <v>23123</v>
      </c>
      <c r="E188" s="84"/>
    </row>
    <row r="189" spans="1:5" x14ac:dyDescent="0.3">
      <c r="A189" s="82">
        <v>46182</v>
      </c>
      <c r="B189" s="83">
        <v>570.4</v>
      </c>
      <c r="C189" s="83">
        <v>23242.1</v>
      </c>
      <c r="E189" s="84"/>
    </row>
    <row r="190" spans="1:5" x14ac:dyDescent="0.3">
      <c r="A190" s="82">
        <v>46183</v>
      </c>
      <c r="B190" s="83">
        <v>560.65</v>
      </c>
      <c r="C190" s="83">
        <v>23214.95</v>
      </c>
      <c r="E190" s="84"/>
    </row>
    <row r="191" spans="1:5" x14ac:dyDescent="0.3">
      <c r="A191" s="82">
        <v>46184</v>
      </c>
      <c r="B191" s="83">
        <v>552.25</v>
      </c>
      <c r="C191" s="83">
        <v>23161.599999999999</v>
      </c>
      <c r="E191" s="84"/>
    </row>
    <row r="192" spans="1:5" x14ac:dyDescent="0.3">
      <c r="A192" s="82">
        <v>46185</v>
      </c>
      <c r="B192" s="83">
        <v>559.35</v>
      </c>
      <c r="C192" s="83">
        <v>23622.9</v>
      </c>
      <c r="E192" s="84"/>
    </row>
    <row r="193" spans="1:5" x14ac:dyDescent="0.3">
      <c r="A193" s="82">
        <v>46188</v>
      </c>
      <c r="B193" s="83">
        <v>566.25</v>
      </c>
      <c r="C193" s="83">
        <v>23853.9</v>
      </c>
      <c r="E193" s="84"/>
    </row>
    <row r="194" spans="1:5" x14ac:dyDescent="0.3">
      <c r="A194" s="82">
        <v>46189</v>
      </c>
      <c r="B194" s="83">
        <v>562.04999999999995</v>
      </c>
      <c r="C194" s="83">
        <v>23989.15</v>
      </c>
      <c r="E194" s="84"/>
    </row>
    <row r="195" spans="1:5" x14ac:dyDescent="0.3">
      <c r="A195" s="82">
        <v>46190</v>
      </c>
      <c r="B195" s="83">
        <v>572</v>
      </c>
      <c r="C195" s="83">
        <v>24085.7</v>
      </c>
      <c r="E195" s="84"/>
    </row>
    <row r="196" spans="1:5" x14ac:dyDescent="0.3">
      <c r="A196" s="82">
        <v>46191</v>
      </c>
      <c r="B196" s="83">
        <v>575.54999999999995</v>
      </c>
      <c r="C196" s="83">
        <v>24168</v>
      </c>
      <c r="E196" s="84"/>
    </row>
    <row r="197" spans="1:5" x14ac:dyDescent="0.3">
      <c r="A197" s="82">
        <v>46192</v>
      </c>
      <c r="B197" s="83">
        <v>570.1</v>
      </c>
      <c r="C197" s="83">
        <v>24013.1</v>
      </c>
      <c r="E197" s="84"/>
    </row>
    <row r="198" spans="1:5" x14ac:dyDescent="0.3">
      <c r="A198" s="82">
        <v>46195</v>
      </c>
      <c r="B198" s="83">
        <v>582.04999999999995</v>
      </c>
      <c r="C198" s="83">
        <v>24102.9</v>
      </c>
      <c r="E198" s="84"/>
    </row>
    <row r="199" spans="1:5" x14ac:dyDescent="0.3">
      <c r="A199" s="82">
        <v>46196</v>
      </c>
      <c r="B199" s="83">
        <v>568.9</v>
      </c>
      <c r="C199" s="83">
        <v>23824.1</v>
      </c>
      <c r="E199" s="84"/>
    </row>
    <row r="200" spans="1:5" x14ac:dyDescent="0.3">
      <c r="A200" s="82">
        <v>46197</v>
      </c>
      <c r="B200" s="83">
        <v>574.4</v>
      </c>
      <c r="C200" s="83">
        <v>24021.65</v>
      </c>
      <c r="E200" s="84"/>
    </row>
    <row r="201" spans="1:5" x14ac:dyDescent="0.3">
      <c r="A201" s="82">
        <v>46198</v>
      </c>
      <c r="B201" s="83">
        <v>573.5</v>
      </c>
      <c r="C201" s="83">
        <v>24056</v>
      </c>
      <c r="E201" s="84"/>
    </row>
    <row r="202" spans="1:5" x14ac:dyDescent="0.3">
      <c r="A202" s="82">
        <v>46202</v>
      </c>
      <c r="B202" s="83">
        <v>586.25</v>
      </c>
      <c r="C202" s="83">
        <v>23946.25</v>
      </c>
      <c r="E202" s="84"/>
    </row>
    <row r="203" spans="1:5" x14ac:dyDescent="0.3">
      <c r="A203" s="82">
        <v>46203</v>
      </c>
      <c r="B203" s="83">
        <v>583.15</v>
      </c>
      <c r="C203" s="83">
        <v>23865.75</v>
      </c>
      <c r="E203" s="84"/>
    </row>
    <row r="204" spans="1:5" x14ac:dyDescent="0.3">
      <c r="A204" s="82">
        <v>46204</v>
      </c>
      <c r="B204" s="83">
        <v>569.45000000000005</v>
      </c>
      <c r="C204" s="83">
        <v>24005.85</v>
      </c>
      <c r="E204" s="84"/>
    </row>
    <row r="205" spans="1:5" x14ac:dyDescent="0.3">
      <c r="A205" s="82">
        <v>46205</v>
      </c>
      <c r="B205" s="83">
        <v>565.35</v>
      </c>
      <c r="C205" s="83">
        <v>24175.7</v>
      </c>
      <c r="E205" s="84"/>
    </row>
    <row r="206" spans="1:5" x14ac:dyDescent="0.3">
      <c r="A206" s="82">
        <v>46206</v>
      </c>
      <c r="B206" s="83">
        <v>550.20000000000005</v>
      </c>
      <c r="C206" s="83">
        <v>24270.85</v>
      </c>
      <c r="E206" s="84"/>
    </row>
    <row r="207" spans="1:5" x14ac:dyDescent="0.3">
      <c r="A207" s="82">
        <v>46209</v>
      </c>
      <c r="B207" s="83">
        <v>547.4</v>
      </c>
      <c r="C207" s="83">
        <v>24430.35</v>
      </c>
      <c r="E207" s="84"/>
    </row>
    <row r="208" spans="1:5" x14ac:dyDescent="0.3">
      <c r="A208" s="82">
        <v>46210</v>
      </c>
      <c r="B208" s="83">
        <v>544.20000000000005</v>
      </c>
      <c r="C208" s="83">
        <v>24398.7</v>
      </c>
      <c r="E208" s="84"/>
    </row>
    <row r="209" spans="1:5" x14ac:dyDescent="0.3">
      <c r="A209" s="82">
        <v>46211</v>
      </c>
      <c r="B209" s="83">
        <v>536.95000000000005</v>
      </c>
      <c r="C209" s="83">
        <v>23882.05</v>
      </c>
      <c r="E209" s="84"/>
    </row>
    <row r="210" spans="1:5" x14ac:dyDescent="0.3">
      <c r="A210" s="82">
        <v>46212</v>
      </c>
      <c r="B210" s="83">
        <v>533.45000000000005</v>
      </c>
      <c r="C210" s="83">
        <v>23962.799999999999</v>
      </c>
      <c r="E210" s="84"/>
    </row>
    <row r="211" spans="1:5" x14ac:dyDescent="0.3">
      <c r="A211" s="82">
        <v>46213</v>
      </c>
      <c r="B211" s="83">
        <v>553.45000000000005</v>
      </c>
      <c r="C211" s="83">
        <v>24206.9</v>
      </c>
      <c r="E211" s="84"/>
    </row>
    <row r="212" spans="1:5" x14ac:dyDescent="0.3">
      <c r="A212" s="82">
        <v>46216</v>
      </c>
      <c r="B212" s="83">
        <v>553.65</v>
      </c>
      <c r="C212" s="83">
        <v>24211</v>
      </c>
      <c r="E212" s="84"/>
    </row>
    <row r="213" spans="1:5" x14ac:dyDescent="0.3">
      <c r="A213" s="82">
        <v>46217</v>
      </c>
      <c r="B213" s="83">
        <v>557.25</v>
      </c>
      <c r="C213" s="83">
        <v>24052.05</v>
      </c>
      <c r="E213" s="84"/>
    </row>
    <row r="214" spans="1:5" x14ac:dyDescent="0.3">
      <c r="A214" s="82">
        <v>46218</v>
      </c>
      <c r="B214" s="83">
        <v>549.9</v>
      </c>
      <c r="C214" s="83">
        <v>24078.5</v>
      </c>
      <c r="E214" s="84"/>
    </row>
    <row r="215" spans="1:5" x14ac:dyDescent="0.3">
      <c r="A215" s="82">
        <v>46219</v>
      </c>
      <c r="B215" s="83">
        <v>543.4</v>
      </c>
      <c r="C215" s="83">
        <v>24072.75</v>
      </c>
      <c r="E215" s="84"/>
    </row>
    <row r="216" spans="1:5" x14ac:dyDescent="0.3">
      <c r="A216" s="82">
        <v>46220</v>
      </c>
      <c r="B216" s="83">
        <v>541.20000000000005</v>
      </c>
      <c r="C216" s="83">
        <v>24334.3</v>
      </c>
      <c r="E216" s="84"/>
    </row>
    <row r="217" spans="1:5" x14ac:dyDescent="0.3">
      <c r="A217" s="82">
        <v>46223</v>
      </c>
      <c r="B217" s="83">
        <v>567.70000000000005</v>
      </c>
      <c r="C217" s="83">
        <v>24238.5</v>
      </c>
      <c r="E217" s="84"/>
    </row>
    <row r="218" spans="1:5" x14ac:dyDescent="0.3">
      <c r="A218" s="82">
        <v>46224</v>
      </c>
      <c r="B218" s="83">
        <v>566.20000000000005</v>
      </c>
      <c r="C218" s="83">
        <v>24187.7</v>
      </c>
      <c r="E218" s="84"/>
    </row>
    <row r="219" spans="1:5" x14ac:dyDescent="0.3">
      <c r="A219" s="82">
        <v>46225</v>
      </c>
      <c r="B219" s="83">
        <v>561.70000000000005</v>
      </c>
      <c r="C219" s="83">
        <v>23996.25</v>
      </c>
      <c r="E219" s="84"/>
    </row>
    <row r="220" spans="1:5" x14ac:dyDescent="0.3">
      <c r="A220" s="82">
        <v>46226</v>
      </c>
      <c r="B220" s="83">
        <v>557.35</v>
      </c>
      <c r="C220" s="83">
        <v>23869.599999999999</v>
      </c>
      <c r="E220" s="84"/>
    </row>
    <row r="221" spans="1:5" x14ac:dyDescent="0.3">
      <c r="A221" s="82">
        <v>46227</v>
      </c>
      <c r="B221" s="83">
        <v>551.65</v>
      </c>
      <c r="C221" s="83">
        <v>23767.45</v>
      </c>
      <c r="E221" s="84"/>
    </row>
    <row r="222" spans="1:5" x14ac:dyDescent="0.3">
      <c r="A222" s="82">
        <v>46230</v>
      </c>
      <c r="B222" s="83">
        <v>549.70000000000005</v>
      </c>
      <c r="C222" s="83">
        <v>23995.95</v>
      </c>
      <c r="E222" s="84"/>
    </row>
    <row r="223" spans="1:5" x14ac:dyDescent="0.3">
      <c r="A223" s="82">
        <v>46231</v>
      </c>
      <c r="B223" s="83">
        <v>544.25</v>
      </c>
      <c r="C223" s="83">
        <v>23985.35</v>
      </c>
      <c r="E223" s="84"/>
    </row>
    <row r="224" spans="1:5" x14ac:dyDescent="0.3">
      <c r="A224" s="82">
        <v>46232</v>
      </c>
      <c r="B224" s="83">
        <v>545.70000000000005</v>
      </c>
      <c r="C224" s="83">
        <v>24250.2</v>
      </c>
      <c r="E224" s="84"/>
    </row>
    <row r="225" spans="1:5" x14ac:dyDescent="0.3">
      <c r="A225" s="82">
        <v>46233</v>
      </c>
      <c r="B225" s="83">
        <v>543.70000000000005</v>
      </c>
      <c r="C225" s="83">
        <v>24317.15</v>
      </c>
      <c r="E225" s="84"/>
    </row>
    <row r="226" spans="1:5" x14ac:dyDescent="0.3">
      <c r="A226" s="82">
        <v>46234</v>
      </c>
      <c r="B226" s="83">
        <v>554.65</v>
      </c>
      <c r="C226" s="83">
        <v>24383.599999999999</v>
      </c>
      <c r="E226" s="84"/>
    </row>
    <row r="227" spans="1:5" x14ac:dyDescent="0.3">
      <c r="A227" s="82">
        <v>46237</v>
      </c>
      <c r="B227" s="83">
        <v>569</v>
      </c>
      <c r="C227" s="83">
        <v>24774.3</v>
      </c>
      <c r="E227" s="84"/>
    </row>
    <row r="228" spans="1:5" x14ac:dyDescent="0.3">
      <c r="A228" s="82">
        <v>46238</v>
      </c>
      <c r="B228" s="83">
        <v>568</v>
      </c>
      <c r="C228" s="83">
        <v>24614.9</v>
      </c>
      <c r="E228" s="84"/>
    </row>
    <row r="229" spans="1:5" x14ac:dyDescent="0.3">
      <c r="A229" s="82">
        <v>46239</v>
      </c>
      <c r="B229" s="83">
        <v>566</v>
      </c>
      <c r="C229" s="83">
        <v>24624.65</v>
      </c>
      <c r="E229" s="84"/>
    </row>
    <row r="230" spans="1:5" x14ac:dyDescent="0.3">
      <c r="A230" s="82">
        <v>46240</v>
      </c>
      <c r="B230" s="83">
        <v>561.5</v>
      </c>
      <c r="C230" s="83">
        <v>24636</v>
      </c>
      <c r="E230" s="84"/>
    </row>
    <row r="231" spans="1:5" x14ac:dyDescent="0.3">
      <c r="A231" s="82">
        <v>46241</v>
      </c>
      <c r="B231" s="83">
        <v>564.4</v>
      </c>
      <c r="C231" s="83">
        <v>24570.65</v>
      </c>
      <c r="E231" s="84"/>
    </row>
    <row r="232" spans="1:5" x14ac:dyDescent="0.3">
      <c r="A232" s="82">
        <v>46244</v>
      </c>
      <c r="B232" s="83">
        <v>578</v>
      </c>
      <c r="C232" s="83">
        <v>24583.8</v>
      </c>
      <c r="E232" s="84"/>
    </row>
    <row r="233" spans="1:5" x14ac:dyDescent="0.3">
      <c r="A233" s="82">
        <v>46245</v>
      </c>
      <c r="B233" s="83">
        <v>563</v>
      </c>
      <c r="C233" s="83">
        <v>24471.7</v>
      </c>
      <c r="E233" s="84"/>
    </row>
    <row r="234" spans="1:5" x14ac:dyDescent="0.3">
      <c r="A234" s="82">
        <v>46246</v>
      </c>
      <c r="B234" s="83">
        <v>558.75</v>
      </c>
      <c r="C234" s="83">
        <v>24435.95</v>
      </c>
      <c r="E234" s="84"/>
    </row>
    <row r="235" spans="1:5" x14ac:dyDescent="0.3">
      <c r="A235" s="82">
        <v>46247</v>
      </c>
      <c r="B235" s="83">
        <v>558.6</v>
      </c>
      <c r="C235" s="83">
        <v>24395.85</v>
      </c>
      <c r="E235" s="84"/>
    </row>
    <row r="236" spans="1:5" x14ac:dyDescent="0.3">
      <c r="A236" s="82">
        <v>46248</v>
      </c>
      <c r="B236" s="83">
        <v>560</v>
      </c>
      <c r="C236" s="83">
        <v>24366</v>
      </c>
      <c r="E236" s="84"/>
    </row>
    <row r="237" spans="1:5" x14ac:dyDescent="0.3">
      <c r="A237" s="82">
        <v>46251</v>
      </c>
      <c r="B237" s="83">
        <v>555.5</v>
      </c>
      <c r="C237" s="83">
        <v>24287.65</v>
      </c>
      <c r="E237" s="84"/>
    </row>
    <row r="238" spans="1:5" x14ac:dyDescent="0.3">
      <c r="A238" s="82">
        <v>46252</v>
      </c>
      <c r="B238" s="83">
        <v>548.1</v>
      </c>
      <c r="C238" s="83">
        <v>24154.9</v>
      </c>
      <c r="E238" s="84"/>
    </row>
    <row r="239" spans="1:5" x14ac:dyDescent="0.3">
      <c r="A239" s="82">
        <v>46253</v>
      </c>
      <c r="B239" s="83">
        <v>543.95000000000005</v>
      </c>
      <c r="C239" s="83">
        <v>24078.3</v>
      </c>
      <c r="E239" s="84"/>
    </row>
    <row r="240" spans="1:5" x14ac:dyDescent="0.3">
      <c r="A240" s="82">
        <v>46254</v>
      </c>
      <c r="B240" s="83">
        <v>542</v>
      </c>
      <c r="C240" s="83">
        <v>24231.85</v>
      </c>
      <c r="E240" s="84"/>
    </row>
    <row r="241" spans="1:5" x14ac:dyDescent="0.3">
      <c r="A241" s="82">
        <v>46255</v>
      </c>
      <c r="B241" s="83">
        <v>544.95000000000005</v>
      </c>
      <c r="C241" s="83">
        <v>24252</v>
      </c>
      <c r="E241" s="84"/>
    </row>
    <row r="242" spans="1:5" x14ac:dyDescent="0.3">
      <c r="A242" s="82">
        <v>46258</v>
      </c>
      <c r="B242" s="83">
        <v>544.70000000000005</v>
      </c>
      <c r="C242" s="83">
        <v>24219.05</v>
      </c>
      <c r="E242" s="84"/>
    </row>
    <row r="243" spans="1:5" x14ac:dyDescent="0.3">
      <c r="A243" s="82">
        <v>46259</v>
      </c>
      <c r="B243" s="83">
        <v>548.4</v>
      </c>
      <c r="C243" s="83">
        <v>24334.55</v>
      </c>
      <c r="E243" s="84"/>
    </row>
    <row r="244" spans="1:5" x14ac:dyDescent="0.3">
      <c r="A244" s="82">
        <v>46260</v>
      </c>
      <c r="B244" s="83">
        <v>543.5</v>
      </c>
      <c r="C244" s="83">
        <v>24207.75</v>
      </c>
      <c r="E244" s="84"/>
    </row>
    <row r="245" spans="1:5" x14ac:dyDescent="0.3">
      <c r="A245" s="82">
        <v>46261</v>
      </c>
      <c r="B245" s="83">
        <v>542.1</v>
      </c>
      <c r="C245" s="83">
        <v>24090.85</v>
      </c>
      <c r="E245" s="84"/>
    </row>
    <row r="246" spans="1:5" x14ac:dyDescent="0.3">
      <c r="A246" s="82">
        <v>46262</v>
      </c>
      <c r="B246" s="83">
        <v>535.29999999999995</v>
      </c>
      <c r="C246" s="83">
        <v>24175.65</v>
      </c>
      <c r="E246" s="84"/>
    </row>
    <row r="247" spans="1:5" x14ac:dyDescent="0.3">
      <c r="A247" s="82">
        <v>46265</v>
      </c>
      <c r="B247" s="83">
        <v>520.4</v>
      </c>
      <c r="C247" s="83">
        <v>24080.400000000001</v>
      </c>
      <c r="E247" s="84"/>
    </row>
    <row r="248" spans="1:5" x14ac:dyDescent="0.3">
      <c r="A248" s="82">
        <v>46266</v>
      </c>
      <c r="B248" s="83">
        <v>518</v>
      </c>
      <c r="C248" s="83">
        <v>24055.8</v>
      </c>
      <c r="E248" s="84"/>
    </row>
    <row r="249" spans="1:5" x14ac:dyDescent="0.3">
      <c r="A249" s="82">
        <v>46267</v>
      </c>
      <c r="B249" s="83">
        <v>539.79999999999995</v>
      </c>
      <c r="C249" s="83">
        <v>23914.45</v>
      </c>
      <c r="E249" s="84"/>
    </row>
    <row r="250" spans="1:5" x14ac:dyDescent="0.3">
      <c r="A250" s="82">
        <v>46268</v>
      </c>
      <c r="B250" s="83">
        <v>539.5</v>
      </c>
      <c r="C250" s="83">
        <v>23873.45</v>
      </c>
      <c r="E250" s="84"/>
    </row>
    <row r="251" spans="1:5" x14ac:dyDescent="0.3">
      <c r="A251" s="82">
        <v>46269</v>
      </c>
      <c r="B251" s="83">
        <v>539.85</v>
      </c>
      <c r="C251" s="83">
        <v>23897.7</v>
      </c>
      <c r="E251" s="84"/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FAB7-0819-477F-89A3-437865A90E0B}">
  <dimension ref="A1:G252"/>
  <sheetViews>
    <sheetView showGridLines="0" zoomScaleNormal="100" workbookViewId="0">
      <selection activeCell="B7" sqref="B7"/>
    </sheetView>
  </sheetViews>
  <sheetFormatPr defaultColWidth="8.6640625" defaultRowHeight="14.4" x14ac:dyDescent="0.3"/>
  <cols>
    <col min="1" max="1" width="31.33203125" bestFit="1" customWidth="1"/>
    <col min="2" max="2" width="8.21875" bestFit="1" customWidth="1"/>
    <col min="3" max="3" width="8.88671875" bestFit="1" customWidth="1"/>
    <col min="4" max="7" width="16" customWidth="1"/>
  </cols>
  <sheetData>
    <row r="1" spans="1:7" ht="17.399999999999999" x14ac:dyDescent="0.3">
      <c r="A1" s="75" t="s">
        <v>102</v>
      </c>
      <c r="B1" s="75"/>
      <c r="C1" s="75"/>
      <c r="D1" s="75"/>
      <c r="E1" s="75"/>
      <c r="F1" s="75"/>
      <c r="G1" s="75"/>
    </row>
    <row r="2" spans="1:7" x14ac:dyDescent="0.3">
      <c r="A2" s="88"/>
      <c r="B2" s="88"/>
      <c r="C2" s="88"/>
      <c r="D2" s="88"/>
      <c r="E2" s="88"/>
      <c r="F2" s="88"/>
      <c r="G2" s="88"/>
    </row>
    <row r="6" spans="1:7" ht="30" customHeight="1" x14ac:dyDescent="0.3">
      <c r="A6" s="73" t="s">
        <v>101</v>
      </c>
      <c r="B6" s="73" t="s">
        <v>100</v>
      </c>
      <c r="C6" s="73" t="s">
        <v>99</v>
      </c>
      <c r="D6" s="73" t="s">
        <v>98</v>
      </c>
      <c r="E6" s="73" t="s">
        <v>97</v>
      </c>
      <c r="F6" s="73" t="s">
        <v>96</v>
      </c>
      <c r="G6" s="73" t="s">
        <v>95</v>
      </c>
    </row>
    <row r="7" spans="1:7" x14ac:dyDescent="0.3">
      <c r="A7" s="72">
        <v>45909</v>
      </c>
      <c r="B7" s="71">
        <f>('Price Data'!B6-'Price Data'!B5)/'Price Data'!B5</f>
        <v>-8.036064288514241E-3</v>
      </c>
      <c r="C7" s="71">
        <f>('Price Data'!C6-'Price Data'!C5)/'Price Data'!C5</f>
        <v>3.8529617751475722E-3</v>
      </c>
      <c r="D7" s="71">
        <f t="shared" ref="D7:D70" si="0">B7-$B$4</f>
        <v>-8.036064288514241E-3</v>
      </c>
      <c r="E7" s="71">
        <f t="shared" ref="E7:E70" si="1">C7-$C$5</f>
        <v>3.8529617751475722E-3</v>
      </c>
      <c r="F7" s="70">
        <f t="shared" ref="F7:F70" si="2">D7*E7</f>
        <v>-3.0962648526273841E-5</v>
      </c>
      <c r="G7" s="70">
        <f t="shared" ref="G7:G70" si="3">E7^2</f>
        <v>1.4845314440748331E-5</v>
      </c>
    </row>
    <row r="8" spans="1:7" x14ac:dyDescent="0.3">
      <c r="A8" s="72">
        <v>45910</v>
      </c>
      <c r="B8" s="71">
        <f>('Price Data'!B7-'Price Data'!B6)/'Price Data'!B6</f>
        <v>2.5489033787788929E-2</v>
      </c>
      <c r="C8" s="71">
        <f>('Price Data'!C7-'Price Data'!C6)/'Price Data'!C6</f>
        <v>4.202086164882623E-3</v>
      </c>
      <c r="D8" s="71">
        <f t="shared" si="0"/>
        <v>2.5489033787788929E-2</v>
      </c>
      <c r="E8" s="71">
        <f t="shared" si="1"/>
        <v>4.202086164882623E-3</v>
      </c>
      <c r="F8" s="70">
        <f t="shared" si="2"/>
        <v>1.0710711623589358E-4</v>
      </c>
      <c r="G8" s="70">
        <f t="shared" si="3"/>
        <v>1.7657528137097952E-5</v>
      </c>
    </row>
    <row r="9" spans="1:7" x14ac:dyDescent="0.3">
      <c r="A9" s="72">
        <v>45911</v>
      </c>
      <c r="B9" s="71">
        <f>('Price Data'!B8-'Price Data'!B7)/'Price Data'!B7</f>
        <v>4.9132947976877738E-3</v>
      </c>
      <c r="C9" s="71">
        <f>('Price Data'!C8-'Price Data'!C7)/'Price Data'!C7</f>
        <v>1.2973959980940074E-3</v>
      </c>
      <c r="D9" s="71">
        <f t="shared" si="0"/>
        <v>4.9132947976877738E-3</v>
      </c>
      <c r="E9" s="71">
        <f t="shared" si="1"/>
        <v>1.2973959980940074E-3</v>
      </c>
      <c r="F9" s="70">
        <f t="shared" si="2"/>
        <v>6.3744890079762234E-6</v>
      </c>
      <c r="G9" s="70">
        <f t="shared" si="3"/>
        <v>1.6832363758703458E-6</v>
      </c>
    </row>
    <row r="10" spans="1:7" x14ac:dyDescent="0.3">
      <c r="A10" s="72">
        <v>45912</v>
      </c>
      <c r="B10" s="71">
        <f>('Price Data'!B9-'Price Data'!B8)/'Price Data'!B8</f>
        <v>8.0529191832039992E-3</v>
      </c>
      <c r="C10" s="71">
        <f>('Price Data'!C9-'Price Data'!C8)/'Price Data'!C8</f>
        <v>4.3390454100097975E-3</v>
      </c>
      <c r="D10" s="71">
        <f t="shared" si="0"/>
        <v>8.0529191832039992E-3</v>
      </c>
      <c r="E10" s="71">
        <f t="shared" si="1"/>
        <v>4.3390454100097975E-3</v>
      </c>
      <c r="F10" s="70">
        <f t="shared" si="2"/>
        <v>3.4941982019061158E-5</v>
      </c>
      <c r="G10" s="70">
        <f t="shared" si="3"/>
        <v>1.882731507012709E-5</v>
      </c>
    </row>
    <row r="11" spans="1:7" x14ac:dyDescent="0.3">
      <c r="A11" s="72">
        <v>45915</v>
      </c>
      <c r="B11" s="71">
        <f>('Price Data'!B10-'Price Data'!B9)/'Price Data'!B9</f>
        <v>1.1887779362815026E-2</v>
      </c>
      <c r="C11" s="71">
        <f>('Price Data'!C10-'Price Data'!C9)/'Price Data'!C9</f>
        <v>-1.7838655729871494E-3</v>
      </c>
      <c r="D11" s="71">
        <f t="shared" si="0"/>
        <v>1.1887779362815026E-2</v>
      </c>
      <c r="E11" s="71">
        <f t="shared" si="1"/>
        <v>-1.7838655729871494E-3</v>
      </c>
      <c r="F11" s="70">
        <f t="shared" si="2"/>
        <v>-2.1206200344592834E-5</v>
      </c>
      <c r="G11" s="70">
        <f t="shared" si="3"/>
        <v>3.1821763824887709E-6</v>
      </c>
    </row>
    <row r="12" spans="1:7" x14ac:dyDescent="0.3">
      <c r="A12" s="72">
        <v>45916</v>
      </c>
      <c r="B12" s="71">
        <f>('Price Data'!B11-'Price Data'!B10)/'Price Data'!B10</f>
        <v>1.5131578947368336E-2</v>
      </c>
      <c r="C12" s="71">
        <f>('Price Data'!C11-'Price Data'!C10)/'Price Data'!C10</f>
        <v>6.7772405980245807E-3</v>
      </c>
      <c r="D12" s="71">
        <f t="shared" si="0"/>
        <v>1.5131578947368336E-2</v>
      </c>
      <c r="E12" s="71">
        <f t="shared" si="1"/>
        <v>6.7772405980245807E-3</v>
      </c>
      <c r="F12" s="70">
        <f t="shared" si="2"/>
        <v>1.0255035115431874E-4</v>
      </c>
      <c r="G12" s="70">
        <f t="shared" si="3"/>
        <v>4.593099012351258E-5</v>
      </c>
    </row>
    <row r="13" spans="1:7" x14ac:dyDescent="0.3">
      <c r="A13" s="72">
        <v>45917</v>
      </c>
      <c r="B13" s="71">
        <f>('Price Data'!B12-'Price Data'!B11)/'Price Data'!B11</f>
        <v>-9.3509860198128965E-3</v>
      </c>
      <c r="C13" s="71">
        <f>('Price Data'!C12-'Price Data'!C11)/'Price Data'!C11</f>
        <v>3.6114599965926465E-3</v>
      </c>
      <c r="D13" s="71">
        <f t="shared" si="0"/>
        <v>-9.3509860198128965E-3</v>
      </c>
      <c r="E13" s="71">
        <f t="shared" si="1"/>
        <v>3.6114599965926465E-3</v>
      </c>
      <c r="F13" s="70">
        <f t="shared" si="2"/>
        <v>-3.3770711939251371E-5</v>
      </c>
      <c r="G13" s="70">
        <f t="shared" si="3"/>
        <v>1.3042643306988959E-5</v>
      </c>
    </row>
    <row r="14" spans="1:7" x14ac:dyDescent="0.3">
      <c r="A14" s="72">
        <v>45918</v>
      </c>
      <c r="B14" s="71">
        <f>('Price Data'!B13-'Price Data'!B12)/'Price Data'!B12</f>
        <v>5.2336448598129994E-3</v>
      </c>
      <c r="C14" s="71">
        <f>('Price Data'!C13-'Price Data'!C12)/'Price Data'!C12</f>
        <v>3.6853169629197718E-3</v>
      </c>
      <c r="D14" s="71">
        <f t="shared" si="0"/>
        <v>5.2336448598129994E-3</v>
      </c>
      <c r="E14" s="71">
        <f t="shared" si="1"/>
        <v>3.6853169629197718E-3</v>
      </c>
      <c r="F14" s="70">
        <f t="shared" si="2"/>
        <v>1.9287640179766718E-5</v>
      </c>
      <c r="G14" s="70">
        <f t="shared" si="3"/>
        <v>1.358156111718421E-5</v>
      </c>
    </row>
    <row r="15" spans="1:7" x14ac:dyDescent="0.3">
      <c r="A15" s="72">
        <v>45919</v>
      </c>
      <c r="B15" s="71">
        <f>('Price Data'!B14-'Price Data'!B13)/'Price Data'!B13</f>
        <v>1.4317590182223961E-2</v>
      </c>
      <c r="C15" s="71">
        <f>('Price Data'!C14-'Price Data'!C13)/'Price Data'!C13</f>
        <v>-3.7976525747730173E-3</v>
      </c>
      <c r="D15" s="71">
        <f t="shared" si="0"/>
        <v>1.4317590182223961E-2</v>
      </c>
      <c r="E15" s="71">
        <f t="shared" si="1"/>
        <v>-3.7976525747730173E-3</v>
      </c>
      <c r="F15" s="70">
        <f t="shared" si="2"/>
        <v>-5.4373233220067698E-5</v>
      </c>
      <c r="G15" s="70">
        <f t="shared" si="3"/>
        <v>1.4422165078680128E-5</v>
      </c>
    </row>
    <row r="16" spans="1:7" x14ac:dyDescent="0.3">
      <c r="A16" s="72">
        <v>45922</v>
      </c>
      <c r="B16" s="71">
        <f>('Price Data'!B15-'Price Data'!B14)/'Price Data'!B14</f>
        <v>-4.6746104491291558E-3</v>
      </c>
      <c r="C16" s="71">
        <f>('Price Data'!C15-'Price Data'!C14)/'Price Data'!C14</f>
        <v>-4.9235896008418163E-3</v>
      </c>
      <c r="D16" s="71">
        <f t="shared" si="0"/>
        <v>-4.6746104491291558E-3</v>
      </c>
      <c r="E16" s="71">
        <f t="shared" si="1"/>
        <v>-4.9235896008418163E-3</v>
      </c>
      <c r="F16" s="70">
        <f t="shared" si="2"/>
        <v>2.3015863395318804E-5</v>
      </c>
      <c r="G16" s="70">
        <f t="shared" si="3"/>
        <v>2.4241734557517677E-5</v>
      </c>
    </row>
    <row r="17" spans="1:7" x14ac:dyDescent="0.3">
      <c r="A17" s="72">
        <v>45923</v>
      </c>
      <c r="B17" s="71">
        <f>('Price Data'!B16-'Price Data'!B15)/'Price Data'!B15</f>
        <v>1.6576111980844961E-3</v>
      </c>
      <c r="C17" s="71">
        <f>('Price Data'!C16-'Price Data'!C15)/'Price Data'!C15</f>
        <v>-1.3034498766979488E-3</v>
      </c>
      <c r="D17" s="71">
        <f t="shared" si="0"/>
        <v>1.6576111980844961E-3</v>
      </c>
      <c r="E17" s="71">
        <f t="shared" si="1"/>
        <v>-1.3034498766979488E-3</v>
      </c>
      <c r="F17" s="70">
        <f t="shared" si="2"/>
        <v>-2.1606131117563754E-6</v>
      </c>
      <c r="G17" s="70">
        <f t="shared" si="3"/>
        <v>1.6989815810638978E-6</v>
      </c>
    </row>
    <row r="18" spans="1:7" x14ac:dyDescent="0.3">
      <c r="A18" s="72">
        <v>45924</v>
      </c>
      <c r="B18" s="71">
        <f>('Price Data'!B17-'Price Data'!B16)/'Price Data'!B16</f>
        <v>-1.5997058012319657E-2</v>
      </c>
      <c r="C18" s="71">
        <f>('Price Data'!C17-'Price Data'!C16)/'Price Data'!C16</f>
        <v>-4.4736685273842761E-3</v>
      </c>
      <c r="D18" s="71">
        <f t="shared" si="0"/>
        <v>-1.5997058012319657E-2</v>
      </c>
      <c r="E18" s="71">
        <f t="shared" si="1"/>
        <v>-4.4736685273842761E-3</v>
      </c>
      <c r="F18" s="70">
        <f t="shared" si="2"/>
        <v>7.1565534960454919E-5</v>
      </c>
      <c r="G18" s="70">
        <f t="shared" si="3"/>
        <v>2.0013710092908596E-5</v>
      </c>
    </row>
    <row r="19" spans="1:7" x14ac:dyDescent="0.3">
      <c r="A19" s="72">
        <v>45925</v>
      </c>
      <c r="B19" s="71">
        <f>('Price Data'!B18-'Price Data'!B17)/'Price Data'!B17</f>
        <v>-2.8309819676726109E-2</v>
      </c>
      <c r="C19" s="71">
        <f>('Price Data'!C18-'Price Data'!C17)/'Price Data'!C17</f>
        <v>-6.6269171365972209E-3</v>
      </c>
      <c r="D19" s="71">
        <f t="shared" si="0"/>
        <v>-2.8309819676726109E-2</v>
      </c>
      <c r="E19" s="71">
        <f t="shared" si="1"/>
        <v>-6.6269171365972209E-3</v>
      </c>
      <c r="F19" s="70">
        <f t="shared" si="2"/>
        <v>1.8760682914967345E-4</v>
      </c>
      <c r="G19" s="70">
        <f t="shared" si="3"/>
        <v>4.391603073532591E-5</v>
      </c>
    </row>
    <row r="20" spans="1:7" x14ac:dyDescent="0.3">
      <c r="A20" s="72">
        <v>45926</v>
      </c>
      <c r="B20" s="71">
        <f>('Price Data'!B19-'Price Data'!B18)/'Price Data'!B18</f>
        <v>1.9230769230773603E-4</v>
      </c>
      <c r="C20" s="71">
        <f>('Price Data'!C19-'Price Data'!C18)/'Price Data'!C18</f>
        <v>-9.487422084822247E-3</v>
      </c>
      <c r="D20" s="71">
        <f t="shared" si="0"/>
        <v>1.9230769230773603E-4</v>
      </c>
      <c r="E20" s="71">
        <f t="shared" si="1"/>
        <v>-9.487422084822247E-3</v>
      </c>
      <c r="F20" s="70">
        <f t="shared" si="2"/>
        <v>-1.8245042470816162E-6</v>
      </c>
      <c r="G20" s="70">
        <f t="shared" si="3"/>
        <v>9.001117781557291E-5</v>
      </c>
    </row>
    <row r="21" spans="1:7" x14ac:dyDescent="0.3">
      <c r="A21" s="72">
        <v>45929</v>
      </c>
      <c r="B21" s="71">
        <f>('Price Data'!B20-'Price Data'!B19)/'Price Data'!B19</f>
        <v>1.624687560084586E-2</v>
      </c>
      <c r="C21" s="71">
        <f>('Price Data'!C20-'Price Data'!C19)/'Price Data'!C19</f>
        <v>-8.0309231099949595E-4</v>
      </c>
      <c r="D21" s="71">
        <f t="shared" si="0"/>
        <v>1.624687560084586E-2</v>
      </c>
      <c r="E21" s="71">
        <f t="shared" si="1"/>
        <v>-8.0309231099949595E-4</v>
      </c>
      <c r="F21" s="70">
        <f t="shared" si="2"/>
        <v>-1.3047740872804626E-5</v>
      </c>
      <c r="G21" s="70">
        <f t="shared" si="3"/>
        <v>6.4495725998651115E-7</v>
      </c>
    </row>
    <row r="22" spans="1:7" x14ac:dyDescent="0.3">
      <c r="A22" s="72">
        <v>45930</v>
      </c>
      <c r="B22" s="71">
        <f>('Price Data'!B21-'Price Data'!B20)/'Price Data'!B20</f>
        <v>4.3515277646392365E-3</v>
      </c>
      <c r="C22" s="71">
        <f>('Price Data'!C21-'Price Data'!C20)/'Price Data'!C20</f>
        <v>-9.6610905666363205E-4</v>
      </c>
      <c r="D22" s="71">
        <f t="shared" si="0"/>
        <v>4.3515277646392365E-3</v>
      </c>
      <c r="E22" s="71">
        <f t="shared" si="1"/>
        <v>-9.6610905666363205E-4</v>
      </c>
      <c r="F22" s="70">
        <f t="shared" si="2"/>
        <v>-4.2040503837412159E-6</v>
      </c>
      <c r="G22" s="70">
        <f t="shared" si="3"/>
        <v>9.3336670936749305E-7</v>
      </c>
    </row>
    <row r="23" spans="1:7" x14ac:dyDescent="0.3">
      <c r="A23" s="72">
        <v>45931</v>
      </c>
      <c r="B23" s="71">
        <f>('Price Data'!B22-'Price Data'!B21)/'Price Data'!B21</f>
        <v>1.054911933691254E-2</v>
      </c>
      <c r="C23" s="71">
        <f>('Price Data'!C22-'Price Data'!C21)/'Price Data'!C21</f>
        <v>9.1503427315317368E-3</v>
      </c>
      <c r="D23" s="71">
        <f t="shared" si="0"/>
        <v>1.054911933691254E-2</v>
      </c>
      <c r="E23" s="71">
        <f t="shared" si="1"/>
        <v>9.1503427315317368E-3</v>
      </c>
      <c r="F23" s="70">
        <f t="shared" si="2"/>
        <v>9.6528057448578563E-5</v>
      </c>
      <c r="G23" s="70">
        <f t="shared" si="3"/>
        <v>8.372877210449569E-5</v>
      </c>
    </row>
    <row r="24" spans="1:7" x14ac:dyDescent="0.3">
      <c r="A24" s="72">
        <v>45933</v>
      </c>
      <c r="B24" s="71">
        <f>('Price Data'!B23-'Price Data'!B22)/'Price Data'!B22</f>
        <v>6.4311678628016242E-3</v>
      </c>
      <c r="C24" s="71">
        <f>('Price Data'!C23-'Price Data'!C22)/'Price Data'!C22</f>
        <v>2.333278306350009E-3</v>
      </c>
      <c r="D24" s="71">
        <f t="shared" si="0"/>
        <v>6.4311678628016242E-3</v>
      </c>
      <c r="E24" s="71">
        <f t="shared" si="1"/>
        <v>2.333278306350009E-3</v>
      </c>
      <c r="F24" s="70">
        <f t="shared" si="2"/>
        <v>1.500570445877038E-5</v>
      </c>
      <c r="G24" s="70">
        <f t="shared" si="3"/>
        <v>5.4441876548835661E-6</v>
      </c>
    </row>
    <row r="25" spans="1:7" x14ac:dyDescent="0.3">
      <c r="A25" s="72">
        <v>45936</v>
      </c>
      <c r="B25" s="71">
        <f>('Price Data'!B24-'Price Data'!B23)/'Price Data'!B23</f>
        <v>2.0374143359881882E-3</v>
      </c>
      <c r="C25" s="71">
        <f>('Price Data'!C24-'Price Data'!C23)/'Price Data'!C23</f>
        <v>7.3671630999126887E-3</v>
      </c>
      <c r="D25" s="71">
        <f t="shared" si="0"/>
        <v>2.0374143359881882E-3</v>
      </c>
      <c r="E25" s="71">
        <f t="shared" si="1"/>
        <v>7.3671630999126887E-3</v>
      </c>
      <c r="F25" s="70">
        <f t="shared" si="2"/>
        <v>1.5009963715325293E-5</v>
      </c>
      <c r="G25" s="70">
        <f t="shared" si="3"/>
        <v>5.427509214071514E-5</v>
      </c>
    </row>
    <row r="26" spans="1:7" x14ac:dyDescent="0.3">
      <c r="A26" s="72">
        <v>45937</v>
      </c>
      <c r="B26" s="71">
        <f>('Price Data'!B25-'Price Data'!B24)/'Price Data'!B24</f>
        <v>1.3031423290203244E-2</v>
      </c>
      <c r="C26" s="71">
        <f>('Price Data'!C25-'Price Data'!C24)/'Price Data'!C24</f>
        <v>1.2222038348887482E-3</v>
      </c>
      <c r="D26" s="71">
        <f t="shared" si="0"/>
        <v>1.3031423290203244E-2</v>
      </c>
      <c r="E26" s="71">
        <f t="shared" si="1"/>
        <v>1.2222038348887482E-3</v>
      </c>
      <c r="F26" s="70">
        <f t="shared" si="2"/>
        <v>1.5927055519344952E-5</v>
      </c>
      <c r="G26" s="70">
        <f t="shared" si="3"/>
        <v>1.4937822140167626E-6</v>
      </c>
    </row>
    <row r="27" spans="1:7" x14ac:dyDescent="0.3">
      <c r="A27" s="72">
        <v>45938</v>
      </c>
      <c r="B27" s="71">
        <f>('Price Data'!B26-'Price Data'!B25)/'Price Data'!B25</f>
        <v>-2.4815254082656529E-2</v>
      </c>
      <c r="C27" s="71">
        <f>('Price Data'!C26-'Price Data'!C25)/'Price Data'!C25</f>
        <v>-2.4752770996044264E-3</v>
      </c>
      <c r="D27" s="71">
        <f t="shared" si="0"/>
        <v>-2.4815254082656529E-2</v>
      </c>
      <c r="E27" s="71">
        <f t="shared" si="1"/>
        <v>-2.4752770996044264E-3</v>
      </c>
      <c r="F27" s="70">
        <f t="shared" si="2"/>
        <v>6.1424630151664953E-5</v>
      </c>
      <c r="G27" s="70">
        <f t="shared" si="3"/>
        <v>6.1269967198261015E-6</v>
      </c>
    </row>
    <row r="28" spans="1:7" x14ac:dyDescent="0.3">
      <c r="A28" s="72">
        <v>45939</v>
      </c>
      <c r="B28" s="71">
        <f>('Price Data'!B27-'Price Data'!B26)/'Price Data'!B26</f>
        <v>1.5623538216858281E-2</v>
      </c>
      <c r="C28" s="71">
        <f>('Price Data'!C27-'Price Data'!C26)/'Price Data'!C26</f>
        <v>5.416002060196789E-3</v>
      </c>
      <c r="D28" s="71">
        <f t="shared" si="0"/>
        <v>1.5623538216858281E-2</v>
      </c>
      <c r="E28" s="71">
        <f t="shared" si="1"/>
        <v>5.416002060196789E-3</v>
      </c>
      <c r="F28" s="70">
        <f t="shared" si="2"/>
        <v>8.4617115170067717E-5</v>
      </c>
      <c r="G28" s="70">
        <f t="shared" si="3"/>
        <v>2.9333078316055862E-5</v>
      </c>
    </row>
    <row r="29" spans="1:7" x14ac:dyDescent="0.3">
      <c r="A29" s="72">
        <v>45940</v>
      </c>
      <c r="B29" s="71">
        <f>('Price Data'!B28-'Price Data'!B27)/'Price Data'!B27</f>
        <v>-6.2269712601326375E-2</v>
      </c>
      <c r="C29" s="71">
        <f>('Price Data'!C28-'Price Data'!C27)/'Price Data'!C27</f>
        <v>4.1120968318388391E-3</v>
      </c>
      <c r="D29" s="71">
        <f t="shared" si="0"/>
        <v>-6.2269712601326375E-2</v>
      </c>
      <c r="E29" s="71">
        <f t="shared" si="1"/>
        <v>4.1120968318388391E-3</v>
      </c>
      <c r="F29" s="70">
        <f t="shared" si="2"/>
        <v>-2.5605908790742922E-4</v>
      </c>
      <c r="G29" s="70">
        <f t="shared" si="3"/>
        <v>1.6909340354419019E-5</v>
      </c>
    </row>
    <row r="30" spans="1:7" x14ac:dyDescent="0.3">
      <c r="A30" s="72">
        <v>45943</v>
      </c>
      <c r="B30" s="71">
        <f>('Price Data'!B29-'Price Data'!B28)/'Price Data'!B28</f>
        <v>6.9646365422396952E-2</v>
      </c>
      <c r="C30" s="71">
        <f>('Price Data'!C29-'Price Data'!C28)/'Price Data'!C28</f>
        <v>-2.2938183572701189E-3</v>
      </c>
      <c r="D30" s="71">
        <f t="shared" si="0"/>
        <v>6.9646365422396952E-2</v>
      </c>
      <c r="E30" s="71">
        <f t="shared" si="1"/>
        <v>-2.2938183572701189E-3</v>
      </c>
      <c r="F30" s="70">
        <f t="shared" si="2"/>
        <v>-1.5975611152303697E-4</v>
      </c>
      <c r="G30" s="70">
        <f t="shared" si="3"/>
        <v>5.261602656149387E-6</v>
      </c>
    </row>
    <row r="31" spans="1:7" x14ac:dyDescent="0.3">
      <c r="A31" s="72">
        <v>45944</v>
      </c>
      <c r="B31" s="71">
        <f>('Price Data'!B30-'Price Data'!B29)/'Price Data'!B29</f>
        <v>-6.2448342363855096E-3</v>
      </c>
      <c r="C31" s="71">
        <f>('Price Data'!C30-'Price Data'!C29)/'Price Data'!C29</f>
        <v>-3.2444945664129822E-3</v>
      </c>
      <c r="D31" s="71">
        <f t="shared" si="0"/>
        <v>-6.2448342363855096E-3</v>
      </c>
      <c r="E31" s="71">
        <f t="shared" si="1"/>
        <v>-3.2444945664129822E-3</v>
      </c>
      <c r="F31" s="70">
        <f t="shared" si="2"/>
        <v>2.0261330748102549E-5</v>
      </c>
      <c r="G31" s="70">
        <f t="shared" si="3"/>
        <v>1.0526744991483365E-5</v>
      </c>
    </row>
    <row r="32" spans="1:7" x14ac:dyDescent="0.3">
      <c r="A32" s="72">
        <v>45945</v>
      </c>
      <c r="B32" s="71">
        <f>('Price Data'!B31-'Price Data'!B30)/'Price Data'!B30</f>
        <v>8.6868126790500804E-3</v>
      </c>
      <c r="C32" s="71">
        <f>('Price Data'!C31-'Price Data'!C30)/'Price Data'!C30</f>
        <v>7.080789803344506E-3</v>
      </c>
      <c r="D32" s="71">
        <f t="shared" si="0"/>
        <v>8.6868126790500804E-3</v>
      </c>
      <c r="E32" s="71">
        <f t="shared" si="1"/>
        <v>7.080789803344506E-3</v>
      </c>
      <c r="F32" s="70">
        <f t="shared" si="2"/>
        <v>6.1509494641381576E-5</v>
      </c>
      <c r="G32" s="70">
        <f t="shared" si="3"/>
        <v>5.013758423914753E-5</v>
      </c>
    </row>
    <row r="33" spans="1:7" x14ac:dyDescent="0.3">
      <c r="A33" s="72">
        <v>45946</v>
      </c>
      <c r="B33" s="71">
        <f>('Price Data'!B32-'Price Data'!B31)/'Price Data'!B31</f>
        <v>5.2221713238662804E-3</v>
      </c>
      <c r="C33" s="71">
        <f>('Price Data'!C32-'Price Data'!C31)/'Price Data'!C31</f>
        <v>1.033622853036008E-2</v>
      </c>
      <c r="D33" s="71">
        <f t="shared" si="0"/>
        <v>5.2221713238662804E-3</v>
      </c>
      <c r="E33" s="71">
        <f t="shared" si="1"/>
        <v>1.033622853036008E-2</v>
      </c>
      <c r="F33" s="70">
        <f t="shared" si="2"/>
        <v>5.3977556228174917E-5</v>
      </c>
      <c r="G33" s="70">
        <f t="shared" si="3"/>
        <v>1.068376202318297E-4</v>
      </c>
    </row>
    <row r="34" spans="1:7" x14ac:dyDescent="0.3">
      <c r="A34" s="72">
        <v>45947</v>
      </c>
      <c r="B34" s="71">
        <f>('Price Data'!B33-'Price Data'!B32)/'Price Data'!B32</f>
        <v>-1.421800947867311E-2</v>
      </c>
      <c r="C34" s="71">
        <f>('Price Data'!C33-'Price Data'!C32)/'Price Data'!C32</f>
        <v>4.8680296889229077E-3</v>
      </c>
      <c r="D34" s="71">
        <f t="shared" si="0"/>
        <v>-1.421800947867311E-2</v>
      </c>
      <c r="E34" s="71">
        <f t="shared" si="1"/>
        <v>4.8680296889229077E-3</v>
      </c>
      <c r="F34" s="70">
        <f t="shared" si="2"/>
        <v>-6.9213692259568018E-5</v>
      </c>
      <c r="G34" s="70">
        <f t="shared" si="3"/>
        <v>2.3697713052234862E-5</v>
      </c>
    </row>
    <row r="35" spans="1:7" x14ac:dyDescent="0.3">
      <c r="A35" s="72">
        <v>45950</v>
      </c>
      <c r="B35" s="71">
        <f>('Price Data'!B34-'Price Data'!B33)/'Price Data'!B33</f>
        <v>-2.8846153846153681E-2</v>
      </c>
      <c r="C35" s="71">
        <f>('Price Data'!C34-'Price Data'!C33)/'Price Data'!C33</f>
        <v>5.1847832640020425E-3</v>
      </c>
      <c r="D35" s="71">
        <f t="shared" si="0"/>
        <v>-2.8846153846153681E-2</v>
      </c>
      <c r="E35" s="71">
        <f t="shared" si="1"/>
        <v>5.1847832640020425E-3</v>
      </c>
      <c r="F35" s="70">
        <f t="shared" si="2"/>
        <v>-1.4956105569236574E-4</v>
      </c>
      <c r="G35" s="70">
        <f t="shared" si="3"/>
        <v>2.6881977494675672E-5</v>
      </c>
    </row>
    <row r="36" spans="1:7" x14ac:dyDescent="0.3">
      <c r="A36" s="72">
        <v>45951</v>
      </c>
      <c r="B36" s="71">
        <f>('Price Data'!B35-'Price Data'!B34)/'Price Data'!B34</f>
        <v>9.2726580350342806E-3</v>
      </c>
      <c r="C36" s="71">
        <f>('Price Data'!C35-'Price Data'!C34)/'Price Data'!C34</f>
        <v>9.8478707123539843E-4</v>
      </c>
      <c r="D36" s="71">
        <f t="shared" si="0"/>
        <v>9.2726580350342806E-3</v>
      </c>
      <c r="E36" s="71">
        <f t="shared" si="1"/>
        <v>9.8478707123539843E-4</v>
      </c>
      <c r="F36" s="70">
        <f t="shared" si="2"/>
        <v>9.1315937488887931E-6</v>
      </c>
      <c r="G36" s="70">
        <f t="shared" si="3"/>
        <v>9.6980557567239362E-7</v>
      </c>
    </row>
    <row r="37" spans="1:7" x14ac:dyDescent="0.3">
      <c r="A37" s="72">
        <v>45953</v>
      </c>
      <c r="B37" s="71">
        <f>('Price Data'!B36-'Price Data'!B35)/'Price Data'!B35</f>
        <v>6.0935348161561759E-3</v>
      </c>
      <c r="C37" s="71">
        <f>('Price Data'!C36-'Price Data'!C35)/'Price Data'!C35</f>
        <v>8.8137742282160274E-4</v>
      </c>
      <c r="D37" s="71">
        <f t="shared" si="0"/>
        <v>6.0935348161561759E-3</v>
      </c>
      <c r="E37" s="71">
        <f t="shared" si="1"/>
        <v>8.8137742282160274E-4</v>
      </c>
      <c r="F37" s="70">
        <f t="shared" si="2"/>
        <v>5.3707040121374394E-6</v>
      </c>
      <c r="G37" s="70">
        <f t="shared" si="3"/>
        <v>7.7682616145965032E-7</v>
      </c>
    </row>
    <row r="38" spans="1:7" x14ac:dyDescent="0.3">
      <c r="A38" s="72">
        <v>45954</v>
      </c>
      <c r="B38" s="71">
        <f>('Price Data'!B37-'Price Data'!B36)/'Price Data'!B36</f>
        <v>-4.031501968873012E-3</v>
      </c>
      <c r="C38" s="71">
        <f>('Price Data'!C37-'Price Data'!C36)/'Price Data'!C36</f>
        <v>-3.7174505820465479E-3</v>
      </c>
      <c r="D38" s="71">
        <f t="shared" si="0"/>
        <v>-4.031501968873012E-3</v>
      </c>
      <c r="E38" s="71">
        <f t="shared" si="1"/>
        <v>-3.7174505820465479E-3</v>
      </c>
      <c r="F38" s="70">
        <f t="shared" si="2"/>
        <v>1.4986909340708783E-5</v>
      </c>
      <c r="G38" s="70">
        <f t="shared" si="3"/>
        <v>1.3819438829958217E-5</v>
      </c>
    </row>
    <row r="39" spans="1:7" x14ac:dyDescent="0.3">
      <c r="A39" s="72">
        <v>45957</v>
      </c>
      <c r="B39" s="71">
        <f>('Price Data'!B38-'Price Data'!B37)/'Price Data'!B37</f>
        <v>-3.388873199661027E-3</v>
      </c>
      <c r="C39" s="71">
        <f>('Price Data'!C38-'Price Data'!C37)/'Price Data'!C37</f>
        <v>6.6252764570083065E-3</v>
      </c>
      <c r="D39" s="71">
        <f t="shared" si="0"/>
        <v>-3.388873199661027E-3</v>
      </c>
      <c r="E39" s="71">
        <f t="shared" si="1"/>
        <v>6.6252764570083065E-3</v>
      </c>
      <c r="F39" s="70">
        <f t="shared" si="2"/>
        <v>-2.2452221825500613E-5</v>
      </c>
      <c r="G39" s="70">
        <f t="shared" si="3"/>
        <v>4.389428813178854E-5</v>
      </c>
    </row>
    <row r="40" spans="1:7" x14ac:dyDescent="0.3">
      <c r="A40" s="72">
        <v>45958</v>
      </c>
      <c r="B40" s="71">
        <f>('Price Data'!B39-'Price Data'!B38)/'Price Data'!B38</f>
        <v>1.3223764994804949E-2</v>
      </c>
      <c r="C40" s="71">
        <f>('Price Data'!C39-'Price Data'!C38)/'Price Data'!C38</f>
        <v>-1.1495780066663411E-3</v>
      </c>
      <c r="D40" s="71">
        <f t="shared" si="0"/>
        <v>1.3223764994804949E-2</v>
      </c>
      <c r="E40" s="71">
        <f t="shared" si="1"/>
        <v>-1.1495780066663411E-3</v>
      </c>
      <c r="F40" s="70">
        <f t="shared" si="2"/>
        <v>-1.5201749403352012E-5</v>
      </c>
      <c r="G40" s="70">
        <f t="shared" si="3"/>
        <v>1.3215295934109582E-6</v>
      </c>
    </row>
    <row r="41" spans="1:7" x14ac:dyDescent="0.3">
      <c r="A41" s="72">
        <v>45959</v>
      </c>
      <c r="B41" s="71">
        <f>('Price Data'!B40-'Price Data'!B39)/'Price Data'!B39</f>
        <v>-3.5424629439731094E-3</v>
      </c>
      <c r="C41" s="71">
        <f>('Price Data'!C40-'Price Data'!C39)/'Price Data'!C39</f>
        <v>4.5380587749940518E-3</v>
      </c>
      <c r="D41" s="71">
        <f t="shared" si="0"/>
        <v>-3.5424629439731094E-3</v>
      </c>
      <c r="E41" s="71">
        <f t="shared" si="1"/>
        <v>4.5380587749940518E-3</v>
      </c>
      <c r="F41" s="70">
        <f t="shared" si="2"/>
        <v>-1.6075905047988431E-5</v>
      </c>
      <c r="G41" s="70">
        <f t="shared" si="3"/>
        <v>2.0593977445300514E-5</v>
      </c>
    </row>
    <row r="42" spans="1:7" x14ac:dyDescent="0.3">
      <c r="A42" s="72">
        <v>45960</v>
      </c>
      <c r="B42" s="71">
        <f>('Price Data'!B41-'Price Data'!B40)/'Price Data'!B40</f>
        <v>6.9230049583682883E-3</v>
      </c>
      <c r="C42" s="71">
        <f>('Price Data'!C41-'Price Data'!C40)/'Price Data'!C40</f>
        <v>-6.7571457632063878E-3</v>
      </c>
      <c r="D42" s="71">
        <f t="shared" si="0"/>
        <v>6.9230049583682883E-3</v>
      </c>
      <c r="E42" s="71">
        <f t="shared" si="1"/>
        <v>-6.7571457632063878E-3</v>
      </c>
      <c r="F42" s="70">
        <f t="shared" si="2"/>
        <v>-4.6779753623095095E-5</v>
      </c>
      <c r="G42" s="70">
        <f t="shared" si="3"/>
        <v>4.565901886521804E-5</v>
      </c>
    </row>
    <row r="43" spans="1:7" x14ac:dyDescent="0.3">
      <c r="A43" s="72">
        <v>45961</v>
      </c>
      <c r="B43" s="71">
        <f>('Price Data'!B42-'Price Data'!B41)/'Price Data'!B41</f>
        <v>-1.9882932267954904E-2</v>
      </c>
      <c r="C43" s="71">
        <f>('Price Data'!C42-'Price Data'!C41)/'Price Data'!C41</f>
        <v>-6.0186607465457917E-3</v>
      </c>
      <c r="D43" s="71">
        <f t="shared" si="0"/>
        <v>-1.9882932267954904E-2</v>
      </c>
      <c r="E43" s="71">
        <f t="shared" si="1"/>
        <v>-6.0186607465457917E-3</v>
      </c>
      <c r="F43" s="70">
        <f t="shared" si="2"/>
        <v>1.1966862396736887E-4</v>
      </c>
      <c r="G43" s="70">
        <f t="shared" si="3"/>
        <v>3.6224277182011146E-5</v>
      </c>
    </row>
    <row r="44" spans="1:7" x14ac:dyDescent="0.3">
      <c r="A44" s="72">
        <v>45964</v>
      </c>
      <c r="B44" s="71">
        <f>('Price Data'!B43-'Price Data'!B42)/'Price Data'!B42</f>
        <v>1.0332732960470057E-2</v>
      </c>
      <c r="C44" s="71">
        <f>('Price Data'!C43-'Price Data'!C42)/'Price Data'!C42</f>
        <v>1.6036793263380518E-3</v>
      </c>
      <c r="D44" s="71">
        <f t="shared" si="0"/>
        <v>1.0332732960470057E-2</v>
      </c>
      <c r="E44" s="71">
        <f t="shared" si="1"/>
        <v>1.6036793263380518E-3</v>
      </c>
      <c r="F44" s="70">
        <f t="shared" si="2"/>
        <v>1.6570390233277606E-5</v>
      </c>
      <c r="G44" s="70">
        <f t="shared" si="3"/>
        <v>2.5717873817240679E-6</v>
      </c>
    </row>
    <row r="45" spans="1:7" x14ac:dyDescent="0.3">
      <c r="A45" s="72">
        <v>45965</v>
      </c>
      <c r="B45" s="71">
        <f>('Price Data'!B44-'Price Data'!B43)/'Price Data'!B43</f>
        <v>-9.007318446237483E-3</v>
      </c>
      <c r="C45" s="71">
        <f>('Price Data'!C44-'Price Data'!C43)/'Price Data'!C43</f>
        <v>-6.4316170063286448E-3</v>
      </c>
      <c r="D45" s="71">
        <f t="shared" si="0"/>
        <v>-9.007318446237483E-3</v>
      </c>
      <c r="E45" s="71">
        <f t="shared" si="1"/>
        <v>-6.4316170063286448E-3</v>
      </c>
      <c r="F45" s="70">
        <f t="shared" si="2"/>
        <v>5.7931622500238698E-5</v>
      </c>
      <c r="G45" s="70">
        <f t="shared" si="3"/>
        <v>4.1365697316095838E-5</v>
      </c>
    </row>
    <row r="46" spans="1:7" x14ac:dyDescent="0.3">
      <c r="A46" s="72">
        <v>45967</v>
      </c>
      <c r="B46" s="71">
        <f>('Price Data'!B45-'Price Data'!B44)/'Price Data'!B44</f>
        <v>-2.035599318310926E-2</v>
      </c>
      <c r="C46" s="71">
        <f>('Price Data'!C45-'Price Data'!C44)/'Price Data'!C44</f>
        <v>-3.4358622764199338E-3</v>
      </c>
      <c r="D46" s="71">
        <f t="shared" si="0"/>
        <v>-2.035599318310926E-2</v>
      </c>
      <c r="E46" s="71">
        <f t="shared" si="1"/>
        <v>-3.4358622764199338E-3</v>
      </c>
      <c r="F46" s="70">
        <f t="shared" si="2"/>
        <v>6.9940389076906433E-5</v>
      </c>
      <c r="G46" s="70">
        <f t="shared" si="3"/>
        <v>1.180514958252557E-5</v>
      </c>
    </row>
    <row r="47" spans="1:7" x14ac:dyDescent="0.3">
      <c r="A47" s="72">
        <v>45968</v>
      </c>
      <c r="B47" s="71">
        <f>('Price Data'!B46-'Price Data'!B45)/'Price Data'!B45</f>
        <v>3.4792693534356905E-3</v>
      </c>
      <c r="C47" s="71">
        <f>('Price Data'!C46-'Price Data'!C45)/'Price Data'!C45</f>
        <v>-6.8209347816718558E-4</v>
      </c>
      <c r="D47" s="71">
        <f t="shared" si="0"/>
        <v>3.4792693534356905E-3</v>
      </c>
      <c r="E47" s="71">
        <f t="shared" si="1"/>
        <v>-6.8209347816718558E-4</v>
      </c>
      <c r="F47" s="70">
        <f t="shared" si="2"/>
        <v>-2.3731869347654453E-6</v>
      </c>
      <c r="G47" s="70">
        <f t="shared" si="3"/>
        <v>4.6525151295820887E-7</v>
      </c>
    </row>
    <row r="48" spans="1:7" x14ac:dyDescent="0.3">
      <c r="A48" s="72">
        <v>45971</v>
      </c>
      <c r="B48" s="71">
        <f>('Price Data'!B47-'Price Data'!B46)/'Price Data'!B46</f>
        <v>-7.9938360782047142E-3</v>
      </c>
      <c r="C48" s="71">
        <f>('Price Data'!C47-'Price Data'!C46)/'Price Data'!C46</f>
        <v>3.2186189555277189E-3</v>
      </c>
      <c r="D48" s="71">
        <f t="shared" si="0"/>
        <v>-7.9938360782047142E-3</v>
      </c>
      <c r="E48" s="71">
        <f t="shared" si="1"/>
        <v>3.2186189555277189E-3</v>
      </c>
      <c r="F48" s="70">
        <f t="shared" si="2"/>
        <v>-2.5729112328691054E-5</v>
      </c>
      <c r="G48" s="70">
        <f t="shared" si="3"/>
        <v>1.0359507980882344E-5</v>
      </c>
    </row>
    <row r="49" spans="1:7" x14ac:dyDescent="0.3">
      <c r="A49" s="72">
        <v>45972</v>
      </c>
      <c r="B49" s="71">
        <f>('Price Data'!B48-'Price Data'!B47)/'Price Data'!B47</f>
        <v>2.3009708737864121E-2</v>
      </c>
      <c r="C49" s="71">
        <f>('Price Data'!C48-'Price Data'!C47)/'Price Data'!C47</f>
        <v>4.7156623726508076E-3</v>
      </c>
      <c r="D49" s="71">
        <f t="shared" si="0"/>
        <v>2.3009708737864121E-2</v>
      </c>
      <c r="E49" s="71">
        <f t="shared" si="1"/>
        <v>4.7156623726508076E-3</v>
      </c>
      <c r="F49" s="70">
        <f t="shared" si="2"/>
        <v>1.0850601770080033E-4</v>
      </c>
      <c r="G49" s="70">
        <f t="shared" si="3"/>
        <v>2.2237471612834645E-5</v>
      </c>
    </row>
    <row r="50" spans="1:7" x14ac:dyDescent="0.3">
      <c r="A50" s="72">
        <v>45973</v>
      </c>
      <c r="B50" s="71">
        <f>('Price Data'!B49-'Price Data'!B48)/'Price Data'!B48</f>
        <v>2.2776881465311413E-3</v>
      </c>
      <c r="C50" s="71">
        <f>('Price Data'!C49-'Price Data'!C48)/'Price Data'!C48</f>
        <v>7.0383480022338449E-3</v>
      </c>
      <c r="D50" s="71">
        <f t="shared" si="0"/>
        <v>2.2776881465311413E-3</v>
      </c>
      <c r="E50" s="71">
        <f t="shared" si="1"/>
        <v>7.0383480022338449E-3</v>
      </c>
      <c r="F50" s="70">
        <f t="shared" si="2"/>
        <v>1.6031161815849168E-5</v>
      </c>
      <c r="G50" s="70">
        <f t="shared" si="3"/>
        <v>4.9538342600549153E-5</v>
      </c>
    </row>
    <row r="51" spans="1:7" x14ac:dyDescent="0.3">
      <c r="A51" s="72">
        <v>45974</v>
      </c>
      <c r="B51" s="71">
        <f>('Price Data'!B50-'Price Data'!B49)/'Price Data'!B49</f>
        <v>4.7344001515008051E-4</v>
      </c>
      <c r="C51" s="71">
        <f>('Price Data'!C50-'Price Data'!C49)/'Price Data'!C49</f>
        <v>1.2946459626377477E-4</v>
      </c>
      <c r="D51" s="71">
        <f t="shared" si="0"/>
        <v>4.7344001515008051E-4</v>
      </c>
      <c r="E51" s="71">
        <f t="shared" si="1"/>
        <v>1.2946459626377477E-4</v>
      </c>
      <c r="F51" s="70">
        <f t="shared" si="2"/>
        <v>6.1293720416520587E-8</v>
      </c>
      <c r="G51" s="70">
        <f t="shared" si="3"/>
        <v>1.6761081685742204E-8</v>
      </c>
    </row>
    <row r="52" spans="1:7" x14ac:dyDescent="0.3">
      <c r="A52" s="72">
        <v>45975</v>
      </c>
      <c r="B52" s="71">
        <f>('Price Data'!B51-'Price Data'!B50)/'Price Data'!B50</f>
        <v>4.1075146696952579E-2</v>
      </c>
      <c r="C52" s="71">
        <f>('Price Data'!C51-'Price Data'!C50)/'Price Data'!C50</f>
        <v>1.194011395273717E-3</v>
      </c>
      <c r="D52" s="71">
        <f t="shared" si="0"/>
        <v>4.1075146696952579E-2</v>
      </c>
      <c r="E52" s="71">
        <f t="shared" si="1"/>
        <v>1.194011395273717E-3</v>
      </c>
      <c r="F52" s="70">
        <f t="shared" si="2"/>
        <v>4.9044193218700954E-5</v>
      </c>
      <c r="G52" s="70">
        <f t="shared" si="3"/>
        <v>1.4256632120434885E-6</v>
      </c>
    </row>
    <row r="53" spans="1:7" x14ac:dyDescent="0.3">
      <c r="A53" s="72">
        <v>45978</v>
      </c>
      <c r="B53" s="71">
        <f>('Price Data'!B52-'Price Data'!B51)/'Price Data'!B51</f>
        <v>-4.0636363636363679E-2</v>
      </c>
      <c r="C53" s="71">
        <f>('Price Data'!C52-'Price Data'!C51)/'Price Data'!C51</f>
        <v>3.9907294659794739E-3</v>
      </c>
      <c r="D53" s="71">
        <f t="shared" si="0"/>
        <v>-4.0636363636363679E-2</v>
      </c>
      <c r="E53" s="71">
        <f t="shared" si="1"/>
        <v>3.9907294659794739E-3</v>
      </c>
      <c r="F53" s="70">
        <f t="shared" si="2"/>
        <v>-1.6216873375389333E-4</v>
      </c>
      <c r="G53" s="70">
        <f t="shared" si="3"/>
        <v>1.5925921670636818E-5</v>
      </c>
    </row>
    <row r="54" spans="1:7" x14ac:dyDescent="0.3">
      <c r="A54" s="72">
        <v>45979</v>
      </c>
      <c r="B54" s="71">
        <f>('Price Data'!B53-'Price Data'!B52)/'Price Data'!B52</f>
        <v>-1.3266369752675672E-3</v>
      </c>
      <c r="C54" s="71">
        <f>('Price Data'!C53-'Price Data'!C52)/'Price Data'!C52</f>
        <v>-3.9748668477269048E-3</v>
      </c>
      <c r="D54" s="71">
        <f t="shared" si="0"/>
        <v>-1.3266369752675672E-3</v>
      </c>
      <c r="E54" s="71">
        <f t="shared" si="1"/>
        <v>-3.9748668477269048E-3</v>
      </c>
      <c r="F54" s="70">
        <f t="shared" si="2"/>
        <v>5.2732053319597507E-6</v>
      </c>
      <c r="G54" s="70">
        <f t="shared" si="3"/>
        <v>1.5799566457158421E-5</v>
      </c>
    </row>
    <row r="55" spans="1:7" x14ac:dyDescent="0.3">
      <c r="A55" s="72">
        <v>45980</v>
      </c>
      <c r="B55" s="71">
        <f>('Price Data'!B54-'Price Data'!B53)/'Price Data'!B53</f>
        <v>-2.5239586298510423E-2</v>
      </c>
      <c r="C55" s="71">
        <f>('Price Data'!C54-'Price Data'!C53)/'Price Data'!C53</f>
        <v>5.503655917298584E-3</v>
      </c>
      <c r="D55" s="71">
        <f t="shared" si="0"/>
        <v>-2.5239586298510423E-2</v>
      </c>
      <c r="E55" s="71">
        <f t="shared" si="1"/>
        <v>5.503655917298584E-3</v>
      </c>
      <c r="F55" s="70">
        <f t="shared" si="2"/>
        <v>-1.3890999848196515E-4</v>
      </c>
      <c r="G55" s="70">
        <f t="shared" si="3"/>
        <v>3.0290228456015718E-5</v>
      </c>
    </row>
    <row r="56" spans="1:7" x14ac:dyDescent="0.3">
      <c r="A56" s="72">
        <v>45981</v>
      </c>
      <c r="B56" s="71">
        <f>('Price Data'!B55-'Price Data'!B54)/'Price Data'!B54</f>
        <v>-1.7132288523313454E-2</v>
      </c>
      <c r="C56" s="71">
        <f>('Price Data'!C55-'Price Data'!C54)/'Price Data'!C54</f>
        <v>5.3545416685058904E-3</v>
      </c>
      <c r="D56" s="71">
        <f t="shared" si="0"/>
        <v>-1.7132288523313454E-2</v>
      </c>
      <c r="E56" s="71">
        <f t="shared" si="1"/>
        <v>5.3545416685058904E-3</v>
      </c>
      <c r="F56" s="70">
        <f t="shared" si="2"/>
        <v>-9.1735552774947142E-5</v>
      </c>
      <c r="G56" s="70">
        <f t="shared" si="3"/>
        <v>2.8671116479765846E-5</v>
      </c>
    </row>
    <row r="57" spans="1:7" x14ac:dyDescent="0.3">
      <c r="A57" s="72">
        <v>45982</v>
      </c>
      <c r="B57" s="71">
        <f>('Price Data'!B56-'Price Data'!B55)/'Price Data'!B55</f>
        <v>-4.0209963355452134E-2</v>
      </c>
      <c r="C57" s="71">
        <f>('Price Data'!C56-'Price Data'!C55)/'Price Data'!C55</f>
        <v>-4.734242893385995E-3</v>
      </c>
      <c r="D57" s="71">
        <f t="shared" si="0"/>
        <v>-4.0209963355452134E-2</v>
      </c>
      <c r="E57" s="71">
        <f t="shared" si="1"/>
        <v>-4.734242893385995E-3</v>
      </c>
      <c r="F57" s="70">
        <f t="shared" si="2"/>
        <v>1.9036373325886054E-4</v>
      </c>
      <c r="G57" s="70">
        <f t="shared" si="3"/>
        <v>2.2413055773575798E-5</v>
      </c>
    </row>
    <row r="58" spans="1:7" x14ac:dyDescent="0.3">
      <c r="A58" s="72">
        <v>45985</v>
      </c>
      <c r="B58" s="71">
        <f>('Price Data'!B57-'Price Data'!B56)/'Price Data'!B56</f>
        <v>-7.3263853059540012E-3</v>
      </c>
      <c r="C58" s="71">
        <f>('Price Data'!C57-'Price Data'!C56)/'Price Data'!C56</f>
        <v>-4.1679213906626071E-3</v>
      </c>
      <c r="D58" s="71">
        <f t="shared" si="0"/>
        <v>-7.3263853059540012E-3</v>
      </c>
      <c r="E58" s="71">
        <f t="shared" si="1"/>
        <v>-4.1679213906626071E-3</v>
      </c>
      <c r="F58" s="70">
        <f t="shared" si="2"/>
        <v>3.0535798032921888E-5</v>
      </c>
      <c r="G58" s="70">
        <f t="shared" si="3"/>
        <v>1.737156871874292E-5</v>
      </c>
    </row>
    <row r="59" spans="1:7" x14ac:dyDescent="0.3">
      <c r="A59" s="72">
        <v>45986</v>
      </c>
      <c r="B59" s="71">
        <f>('Price Data'!B58-'Price Data'!B57)/'Price Data'!B57</f>
        <v>-9.1476091476090995E-3</v>
      </c>
      <c r="C59" s="71">
        <f>('Price Data'!C58-'Price Data'!C57)/'Price Data'!C57</f>
        <v>-2.8775592750245856E-3</v>
      </c>
      <c r="D59" s="71">
        <f t="shared" si="0"/>
        <v>-9.1476091476090995E-3</v>
      </c>
      <c r="E59" s="71">
        <f t="shared" si="1"/>
        <v>-2.8775592750245856E-3</v>
      </c>
      <c r="F59" s="70">
        <f t="shared" si="2"/>
        <v>2.6322787547002309E-5</v>
      </c>
      <c r="G59" s="70">
        <f t="shared" si="3"/>
        <v>8.2803473812800189E-6</v>
      </c>
    </row>
    <row r="60" spans="1:7" x14ac:dyDescent="0.3">
      <c r="A60" s="72">
        <v>45987</v>
      </c>
      <c r="B60" s="71">
        <f>('Price Data'!B59-'Price Data'!B58)/'Price Data'!B58</f>
        <v>2.2345782626940782E-2</v>
      </c>
      <c r="C60" s="71">
        <f>('Price Data'!C59-'Price Data'!C58)/'Price Data'!C58</f>
        <v>1.2381783904067252E-2</v>
      </c>
      <c r="D60" s="71">
        <f t="shared" si="0"/>
        <v>2.2345782626940782E-2</v>
      </c>
      <c r="E60" s="71">
        <f t="shared" si="1"/>
        <v>1.2381783904067252E-2</v>
      </c>
      <c r="F60" s="70">
        <f t="shared" si="2"/>
        <v>2.7668065165404102E-4</v>
      </c>
      <c r="G60" s="70">
        <f t="shared" si="3"/>
        <v>1.5330857264701889E-4</v>
      </c>
    </row>
    <row r="61" spans="1:7" x14ac:dyDescent="0.3">
      <c r="A61" s="72">
        <v>45988</v>
      </c>
      <c r="B61" s="71">
        <f>('Price Data'!B60-'Price Data'!B59)/'Price Data'!B59</f>
        <v>1.5392508978963571E-3</v>
      </c>
      <c r="C61" s="71">
        <f>('Price Data'!C60-'Price Data'!C59)/'Price Data'!C59</f>
        <v>3.9114224985022116E-4</v>
      </c>
      <c r="D61" s="71">
        <f t="shared" si="0"/>
        <v>1.5392508978963571E-3</v>
      </c>
      <c r="E61" s="71">
        <f t="shared" si="1"/>
        <v>3.9114224985022116E-4</v>
      </c>
      <c r="F61" s="70">
        <f t="shared" si="2"/>
        <v>6.0206605928715416E-7</v>
      </c>
      <c r="G61" s="70">
        <f t="shared" si="3"/>
        <v>1.5299225961789284E-7</v>
      </c>
    </row>
    <row r="62" spans="1:7" x14ac:dyDescent="0.3">
      <c r="A62" s="72">
        <v>45989</v>
      </c>
      <c r="B62" s="71">
        <f>('Price Data'!B61-'Price Data'!B60)/'Price Data'!B60</f>
        <v>1.3319672131147076E-3</v>
      </c>
      <c r="C62" s="71">
        <f>('Price Data'!C61-'Price Data'!C60)/'Price Data'!C60</f>
        <v>-4.806307706684981E-4</v>
      </c>
      <c r="D62" s="71">
        <f t="shared" si="0"/>
        <v>1.3319672131147076E-3</v>
      </c>
      <c r="E62" s="71">
        <f t="shared" si="1"/>
        <v>-4.806307706684981E-4</v>
      </c>
      <c r="F62" s="70">
        <f t="shared" si="2"/>
        <v>-6.4018442814449353E-7</v>
      </c>
      <c r="G62" s="70">
        <f t="shared" si="3"/>
        <v>2.3100593771339442E-7</v>
      </c>
    </row>
    <row r="63" spans="1:7" x14ac:dyDescent="0.3">
      <c r="A63" s="72">
        <v>45992</v>
      </c>
      <c r="B63" s="71">
        <f>('Price Data'!B62-'Price Data'!B61)/'Price Data'!B61</f>
        <v>6.4463317302773651E-3</v>
      </c>
      <c r="C63" s="71">
        <f>('Price Data'!C62-'Price Data'!C61)/'Price Data'!C61</f>
        <v>-1.038051059136499E-3</v>
      </c>
      <c r="D63" s="71">
        <f t="shared" si="0"/>
        <v>6.4463317302773651E-3</v>
      </c>
      <c r="E63" s="71">
        <f t="shared" si="1"/>
        <v>-1.038051059136499E-3</v>
      </c>
      <c r="F63" s="70">
        <f t="shared" si="2"/>
        <v>-6.691621480159639E-6</v>
      </c>
      <c r="G63" s="70">
        <f t="shared" si="3"/>
        <v>1.0775500013744073E-6</v>
      </c>
    </row>
    <row r="64" spans="1:7" x14ac:dyDescent="0.3">
      <c r="A64" s="72">
        <v>45993</v>
      </c>
      <c r="B64" s="71">
        <f>('Price Data'!B63-'Price Data'!B62)/'Price Data'!B62</f>
        <v>-1.5555103700691407E-2</v>
      </c>
      <c r="C64" s="71">
        <f>('Price Data'!C63-'Price Data'!C62)/'Price Data'!C62</f>
        <v>-5.4840835506145677E-3</v>
      </c>
      <c r="D64" s="71">
        <f t="shared" si="0"/>
        <v>-1.5555103700691407E-2</v>
      </c>
      <c r="E64" s="71">
        <f t="shared" si="1"/>
        <v>-5.4840835506145677E-3</v>
      </c>
      <c r="F64" s="70">
        <f t="shared" si="2"/>
        <v>8.5305488333065524E-5</v>
      </c>
      <c r="G64" s="70">
        <f t="shared" si="3"/>
        <v>3.0075172390121285E-5</v>
      </c>
    </row>
    <row r="65" spans="1:7" x14ac:dyDescent="0.3">
      <c r="A65" s="72">
        <v>45994</v>
      </c>
      <c r="B65" s="71">
        <f>('Price Data'!B64-'Price Data'!B63)/'Price Data'!B63</f>
        <v>-2.8813384281730848E-2</v>
      </c>
      <c r="C65" s="71">
        <f>('Price Data'!C64-'Price Data'!C63)/'Price Data'!C63</f>
        <v>-1.77472514808586E-3</v>
      </c>
      <c r="D65" s="71">
        <f t="shared" si="0"/>
        <v>-2.8813384281730848E-2</v>
      </c>
      <c r="E65" s="71">
        <f t="shared" si="1"/>
        <v>-1.77472514808586E-3</v>
      </c>
      <c r="F65" s="70">
        <f t="shared" si="2"/>
        <v>5.1135837686249567E-5</v>
      </c>
      <c r="G65" s="70">
        <f t="shared" si="3"/>
        <v>3.1496493512483774E-6</v>
      </c>
    </row>
    <row r="66" spans="1:7" x14ac:dyDescent="0.3">
      <c r="A66" s="72">
        <v>45995</v>
      </c>
      <c r="B66" s="71">
        <f>('Price Data'!B65-'Price Data'!B64)/'Price Data'!B64</f>
        <v>-2.2011909825606052E-2</v>
      </c>
      <c r="C66" s="71">
        <f>('Price Data'!C65-'Price Data'!C64)/'Price Data'!C64</f>
        <v>1.8375278996382667E-3</v>
      </c>
      <c r="D66" s="71">
        <f t="shared" si="0"/>
        <v>-2.2011909825606052E-2</v>
      </c>
      <c r="E66" s="71">
        <f t="shared" si="1"/>
        <v>1.8375278996382667E-3</v>
      </c>
      <c r="F66" s="70">
        <f t="shared" si="2"/>
        <v>-4.0447498428872815E-5</v>
      </c>
      <c r="G66" s="70">
        <f t="shared" si="3"/>
        <v>3.3765087819490201E-6</v>
      </c>
    </row>
    <row r="67" spans="1:7" x14ac:dyDescent="0.3">
      <c r="A67" s="72">
        <v>45996</v>
      </c>
      <c r="B67" s="71">
        <f>('Price Data'!B66-'Price Data'!B65)/'Price Data'!B65</f>
        <v>4.5667065347395142E-3</v>
      </c>
      <c r="C67" s="71">
        <f>('Price Data'!C66-'Price Data'!C65)/'Price Data'!C65</f>
        <v>5.8654631007826656E-3</v>
      </c>
      <c r="D67" s="71">
        <f t="shared" si="0"/>
        <v>4.5667065347395142E-3</v>
      </c>
      <c r="E67" s="71">
        <f t="shared" si="1"/>
        <v>5.8654631007826656E-3</v>
      </c>
      <c r="F67" s="70">
        <f t="shared" si="2"/>
        <v>2.6785848671617694E-5</v>
      </c>
      <c r="G67" s="70">
        <f t="shared" si="3"/>
        <v>3.4403657386643001E-5</v>
      </c>
    </row>
    <row r="68" spans="1:7" x14ac:dyDescent="0.3">
      <c r="A68" s="72">
        <v>45999</v>
      </c>
      <c r="B68" s="71">
        <f>('Price Data'!B67-'Price Data'!B66)/'Price Data'!B66</f>
        <v>-1.7534365191037918E-2</v>
      </c>
      <c r="C68" s="71">
        <f>('Price Data'!C67-'Price Data'!C66)/'Price Data'!C66</f>
        <v>-8.6265988707901007E-3</v>
      </c>
      <c r="D68" s="71">
        <f t="shared" si="0"/>
        <v>-1.7534365191037918E-2</v>
      </c>
      <c r="E68" s="71">
        <f t="shared" si="1"/>
        <v>-8.6265988707901007E-3</v>
      </c>
      <c r="F68" s="70">
        <f t="shared" si="2"/>
        <v>1.5126193495702895E-4</v>
      </c>
      <c r="G68" s="70">
        <f t="shared" si="3"/>
        <v>7.441820807751704E-5</v>
      </c>
    </row>
    <row r="69" spans="1:7" x14ac:dyDescent="0.3">
      <c r="A69" s="72">
        <v>46000</v>
      </c>
      <c r="B69" s="71">
        <f>('Price Data'!B68-'Price Data'!B67)/'Price Data'!B67</f>
        <v>-5.838933568359665E-3</v>
      </c>
      <c r="C69" s="71">
        <f>('Price Data'!C68-'Price Data'!C67)/'Price Data'!C67</f>
        <v>-4.6570662023723616E-3</v>
      </c>
      <c r="D69" s="71">
        <f t="shared" si="0"/>
        <v>-5.838933568359665E-3</v>
      </c>
      <c r="E69" s="71">
        <f t="shared" si="1"/>
        <v>-4.6570662023723616E-3</v>
      </c>
      <c r="F69" s="70">
        <f t="shared" si="2"/>
        <v>2.7192300179105246E-5</v>
      </c>
      <c r="G69" s="70">
        <f t="shared" si="3"/>
        <v>2.168826561327893E-5</v>
      </c>
    </row>
    <row r="70" spans="1:7" x14ac:dyDescent="0.3">
      <c r="A70" s="72">
        <v>46001</v>
      </c>
      <c r="B70" s="71">
        <f>('Price Data'!B69-'Price Data'!B68)/'Price Data'!B68</f>
        <v>-1.1081560283690464E-4</v>
      </c>
      <c r="C70" s="71">
        <f>('Price Data'!C69-'Price Data'!C68)/'Price Data'!C68</f>
        <v>-3.1598725214931878E-3</v>
      </c>
      <c r="D70" s="71">
        <f t="shared" si="0"/>
        <v>-1.1081560283690464E-4</v>
      </c>
      <c r="E70" s="71">
        <f t="shared" si="1"/>
        <v>-3.1598725214931878E-3</v>
      </c>
      <c r="F70" s="70">
        <f t="shared" si="2"/>
        <v>3.5016317835703751E-7</v>
      </c>
      <c r="G70" s="70">
        <f t="shared" si="3"/>
        <v>9.9847943520877166E-6</v>
      </c>
    </row>
    <row r="71" spans="1:7" x14ac:dyDescent="0.3">
      <c r="A71" s="72">
        <v>46002</v>
      </c>
      <c r="B71" s="71">
        <f>('Price Data'!B70-'Price Data'!B69)/'Price Data'!B69</f>
        <v>1.4740108611326685E-2</v>
      </c>
      <c r="C71" s="71">
        <f>('Price Data'!C70-'Price Data'!C69)/'Price Data'!C69</f>
        <v>5.4565571861169065E-3</v>
      </c>
      <c r="D71" s="71">
        <f t="shared" ref="D71:D134" si="4">B71-$B$4</f>
        <v>1.4740108611326685E-2</v>
      </c>
      <c r="E71" s="71">
        <f t="shared" ref="E71:E134" si="5">C71-$C$5</f>
        <v>5.4565571861169065E-3</v>
      </c>
      <c r="F71" s="70">
        <f t="shared" ref="F71:F134" si="6">D71*E71</f>
        <v>8.0430245567278318E-5</v>
      </c>
      <c r="G71" s="70">
        <f t="shared" ref="G71:G134" si="7">E71^2</f>
        <v>2.9774016325364051E-5</v>
      </c>
    </row>
    <row r="72" spans="1:7" x14ac:dyDescent="0.3">
      <c r="A72" s="72">
        <v>46003</v>
      </c>
      <c r="B72" s="71">
        <f>('Price Data'!B71-'Price Data'!B70)/'Price Data'!B70</f>
        <v>5.3298383573612877E-2</v>
      </c>
      <c r="C72" s="71">
        <f>('Price Data'!C71-'Price Data'!C70)/'Price Data'!C70</f>
        <v>5.7300505240641449E-3</v>
      </c>
      <c r="D72" s="71">
        <f t="shared" si="4"/>
        <v>5.3298383573612877E-2</v>
      </c>
      <c r="E72" s="71">
        <f t="shared" si="5"/>
        <v>5.7300505240641449E-3</v>
      </c>
      <c r="F72" s="70">
        <f t="shared" si="6"/>
        <v>3.0540243072775227E-4</v>
      </c>
      <c r="G72" s="70">
        <f t="shared" si="7"/>
        <v>3.2833479008327783E-5</v>
      </c>
    </row>
    <row r="73" spans="1:7" x14ac:dyDescent="0.3">
      <c r="A73" s="72">
        <v>46006</v>
      </c>
      <c r="B73" s="71">
        <f>('Price Data'!B72-'Price Data'!B71)/'Price Data'!B71</f>
        <v>8.8137702198257985E-3</v>
      </c>
      <c r="C73" s="71">
        <f>('Price Data'!C72-'Price Data'!C71)/'Price Data'!C71</f>
        <v>-7.5440694591886787E-4</v>
      </c>
      <c r="D73" s="71">
        <f t="shared" si="4"/>
        <v>8.8137702198257985E-3</v>
      </c>
      <c r="E73" s="71">
        <f t="shared" si="5"/>
        <v>-7.5440694591886787E-4</v>
      </c>
      <c r="F73" s="70">
        <f t="shared" si="6"/>
        <v>-6.6491694735694496E-6</v>
      </c>
      <c r="G73" s="70">
        <f t="shared" si="7"/>
        <v>5.6912984005063363E-7</v>
      </c>
    </row>
    <row r="74" spans="1:7" x14ac:dyDescent="0.3">
      <c r="A74" s="72">
        <v>46007</v>
      </c>
      <c r="B74" s="71">
        <f>('Price Data'!B73-'Price Data'!B72)/'Price Data'!B72</f>
        <v>-1.6342892383595414E-2</v>
      </c>
      <c r="C74" s="71">
        <f>('Price Data'!C73-'Price Data'!C72)/'Price Data'!C72</f>
        <v>-6.4240240055634173E-3</v>
      </c>
      <c r="D74" s="71">
        <f t="shared" si="4"/>
        <v>-1.6342892383595414E-2</v>
      </c>
      <c r="E74" s="71">
        <f t="shared" si="5"/>
        <v>-6.4240240055634173E-3</v>
      </c>
      <c r="F74" s="70">
        <f t="shared" si="6"/>
        <v>1.0498713299255648E-4</v>
      </c>
      <c r="G74" s="70">
        <f t="shared" si="7"/>
        <v>4.1268084424055053E-5</v>
      </c>
    </row>
    <row r="75" spans="1:7" x14ac:dyDescent="0.3">
      <c r="A75" s="72">
        <v>46008</v>
      </c>
      <c r="B75" s="71">
        <f>('Price Data'!B74-'Price Data'!B73)/'Price Data'!B73</f>
        <v>-6.7920585161964468E-3</v>
      </c>
      <c r="C75" s="71">
        <f>('Price Data'!C74-'Price Data'!C73)/'Price Data'!C73</f>
        <v>-1.6067223251263248E-3</v>
      </c>
      <c r="D75" s="71">
        <f t="shared" si="4"/>
        <v>-6.7920585161964468E-3</v>
      </c>
      <c r="E75" s="71">
        <f t="shared" si="5"/>
        <v>-1.6067223251263248E-3</v>
      </c>
      <c r="F75" s="70">
        <f t="shared" si="6"/>
        <v>1.0912952051537211E-5</v>
      </c>
      <c r="G75" s="70">
        <f t="shared" si="7"/>
        <v>2.5815566300593435E-6</v>
      </c>
    </row>
    <row r="76" spans="1:7" x14ac:dyDescent="0.3">
      <c r="A76" s="72">
        <v>46009</v>
      </c>
      <c r="B76" s="71">
        <f>('Price Data'!B75-'Price Data'!B74)/'Price Data'!B74</f>
        <v>-6.8385060494476589E-3</v>
      </c>
      <c r="C76" s="71">
        <f>('Price Data'!C75-'Price Data'!C74)/'Price Data'!C74</f>
        <v>-1.1619552608492731E-4</v>
      </c>
      <c r="D76" s="71">
        <f t="shared" si="4"/>
        <v>-6.8385060494476589E-3</v>
      </c>
      <c r="E76" s="71">
        <f t="shared" si="5"/>
        <v>-1.1619552608492731E-4</v>
      </c>
      <c r="F76" s="70">
        <f t="shared" si="6"/>
        <v>7.9460380805052872E-7</v>
      </c>
      <c r="G76" s="70">
        <f t="shared" si="7"/>
        <v>1.3501400282153024E-8</v>
      </c>
    </row>
    <row r="77" spans="1:7" x14ac:dyDescent="0.3">
      <c r="A77" s="72">
        <v>46010</v>
      </c>
      <c r="B77" s="71">
        <f>('Price Data'!B76-'Price Data'!B75)/'Price Data'!B75</f>
        <v>1.3241525423728813E-2</v>
      </c>
      <c r="C77" s="71">
        <f>('Price Data'!C76-'Price Data'!C75)/'Price Data'!C75</f>
        <v>5.8433773442751434E-3</v>
      </c>
      <c r="D77" s="71">
        <f t="shared" si="4"/>
        <v>1.3241525423728813E-2</v>
      </c>
      <c r="E77" s="71">
        <f t="shared" si="5"/>
        <v>5.8433773442751434E-3</v>
      </c>
      <c r="F77" s="70">
        <f t="shared" si="6"/>
        <v>7.7375229664660266E-5</v>
      </c>
      <c r="G77" s="70">
        <f t="shared" si="7"/>
        <v>3.4145058787588031E-5</v>
      </c>
    </row>
    <row r="78" spans="1:7" x14ac:dyDescent="0.3">
      <c r="A78" s="72">
        <v>46013</v>
      </c>
      <c r="B78" s="71">
        <f>('Price Data'!B77-'Price Data'!B76)/'Price Data'!B76</f>
        <v>1.4636696288551775E-3</v>
      </c>
      <c r="C78" s="71">
        <f>('Price Data'!C77-'Price Data'!C76)/'Price Data'!C76</f>
        <v>7.933329225460594E-3</v>
      </c>
      <c r="D78" s="71">
        <f t="shared" si="4"/>
        <v>1.4636696288551775E-3</v>
      </c>
      <c r="E78" s="71">
        <f t="shared" si="5"/>
        <v>7.933329225460594E-3</v>
      </c>
      <c r="F78" s="70">
        <f t="shared" si="6"/>
        <v>1.161177304301584E-5</v>
      </c>
      <c r="G78" s="70">
        <f t="shared" si="7"/>
        <v>6.2937712599547184E-5</v>
      </c>
    </row>
    <row r="79" spans="1:7" x14ac:dyDescent="0.3">
      <c r="A79" s="72">
        <v>46014</v>
      </c>
      <c r="B79" s="71">
        <f>('Price Data'!B78-'Price Data'!B77)/'Price Data'!B77</f>
        <v>1.3988934126735544E-2</v>
      </c>
      <c r="C79" s="71">
        <f>('Price Data'!C78-'Price Data'!C77)/'Price Data'!C77</f>
        <v>1.8148889670034082E-4</v>
      </c>
      <c r="D79" s="71">
        <f t="shared" si="4"/>
        <v>1.3988934126735544E-2</v>
      </c>
      <c r="E79" s="71">
        <f t="shared" si="5"/>
        <v>1.8148889670034082E-4</v>
      </c>
      <c r="F79" s="70">
        <f t="shared" si="6"/>
        <v>2.5388362206749796E-6</v>
      </c>
      <c r="G79" s="70">
        <f t="shared" si="7"/>
        <v>3.2938219625506978E-8</v>
      </c>
    </row>
    <row r="80" spans="1:7" x14ac:dyDescent="0.3">
      <c r="A80" s="72">
        <v>46015</v>
      </c>
      <c r="B80" s="71">
        <f>('Price Data'!B79-'Price Data'!B78)/'Price Data'!B78</f>
        <v>-2.6768248738802732E-3</v>
      </c>
      <c r="C80" s="71">
        <f>('Price Data'!C79-'Price Data'!C78)/'Price Data'!C78</f>
        <v>-1.3389540114184665E-3</v>
      </c>
      <c r="D80" s="71">
        <f t="shared" si="4"/>
        <v>-2.6768248738802732E-3</v>
      </c>
      <c r="E80" s="71">
        <f t="shared" si="5"/>
        <v>-1.3389540114184665E-3</v>
      </c>
      <c r="F80" s="70">
        <f t="shared" si="6"/>
        <v>3.5841454027467225E-6</v>
      </c>
      <c r="G80" s="70">
        <f t="shared" si="7"/>
        <v>1.7927978446936029E-6</v>
      </c>
    </row>
    <row r="81" spans="1:7" x14ac:dyDescent="0.3">
      <c r="A81" s="72">
        <v>46017</v>
      </c>
      <c r="B81" s="71">
        <f>('Price Data'!B80-'Price Data'!B79)/'Price Data'!B79</f>
        <v>-1.0219882316506753E-2</v>
      </c>
      <c r="C81" s="71">
        <f>('Price Data'!C80-'Price Data'!C79)/'Price Data'!C79</f>
        <v>-3.8175969030796791E-3</v>
      </c>
      <c r="D81" s="71">
        <f t="shared" si="4"/>
        <v>-1.0219882316506753E-2</v>
      </c>
      <c r="E81" s="71">
        <f t="shared" si="5"/>
        <v>-3.8175969030796791E-3</v>
      </c>
      <c r="F81" s="70">
        <f t="shared" si="6"/>
        <v>3.9015391081334958E-5</v>
      </c>
      <c r="G81" s="70">
        <f t="shared" si="7"/>
        <v>1.4574046114403557E-5</v>
      </c>
    </row>
    <row r="82" spans="1:7" x14ac:dyDescent="0.3">
      <c r="A82" s="72">
        <v>46020</v>
      </c>
      <c r="B82" s="71">
        <f>('Price Data'!B81-'Price Data'!B80)/'Price Data'!B80</f>
        <v>-1.7209011264080101E-2</v>
      </c>
      <c r="C82" s="71">
        <f>('Price Data'!C81-'Price Data'!C80)/'Price Data'!C80</f>
        <v>-3.8475864266981309E-3</v>
      </c>
      <c r="D82" s="71">
        <f t="shared" si="4"/>
        <v>-1.7209011264080101E-2</v>
      </c>
      <c r="E82" s="71">
        <f t="shared" si="5"/>
        <v>-3.8475864266981309E-3</v>
      </c>
      <c r="F82" s="70">
        <f t="shared" si="6"/>
        <v>6.6213158156569842E-5</v>
      </c>
      <c r="G82" s="70">
        <f t="shared" si="7"/>
        <v>1.4803921310911691E-5</v>
      </c>
    </row>
    <row r="83" spans="1:7" x14ac:dyDescent="0.3">
      <c r="A83" s="72">
        <v>46021</v>
      </c>
      <c r="B83" s="71">
        <f>('Price Data'!B82-'Price Data'!B81)/'Price Data'!B81</f>
        <v>-2.9714528281863046E-3</v>
      </c>
      <c r="C83" s="71">
        <f>('Price Data'!C82-'Price Data'!C81)/'Price Data'!C81</f>
        <v>-1.2527898666646109E-4</v>
      </c>
      <c r="D83" s="71">
        <f t="shared" si="4"/>
        <v>-2.9714528281863046E-3</v>
      </c>
      <c r="E83" s="71">
        <f t="shared" si="5"/>
        <v>-1.2527898666646109E-4</v>
      </c>
      <c r="F83" s="70">
        <f t="shared" si="6"/>
        <v>3.7226059924237014E-7</v>
      </c>
      <c r="G83" s="70">
        <f t="shared" si="7"/>
        <v>1.5694824500175334E-8</v>
      </c>
    </row>
    <row r="84" spans="1:7" x14ac:dyDescent="0.3">
      <c r="A84" s="72">
        <v>46022</v>
      </c>
      <c r="B84" s="71">
        <f>('Price Data'!B83-'Price Data'!B82)/'Price Data'!B82</f>
        <v>2.7035657264502369E-2</v>
      </c>
      <c r="C84" s="71">
        <f>('Price Data'!C83-'Price Data'!C82)/'Price Data'!C82</f>
        <v>7.353834113694324E-3</v>
      </c>
      <c r="D84" s="71">
        <f t="shared" si="4"/>
        <v>2.7035657264502369E-2</v>
      </c>
      <c r="E84" s="71">
        <f t="shared" si="5"/>
        <v>7.353834113694324E-3</v>
      </c>
      <c r="F84" s="70">
        <f t="shared" si="6"/>
        <v>1.9881573867784529E-4</v>
      </c>
      <c r="G84" s="70">
        <f t="shared" si="7"/>
        <v>5.4078876171734381E-5</v>
      </c>
    </row>
    <row r="85" spans="1:7" x14ac:dyDescent="0.3">
      <c r="A85" s="72">
        <v>46023</v>
      </c>
      <c r="B85" s="71">
        <f>('Price Data'!B84-'Price Data'!B83)/'Price Data'!B83</f>
        <v>4.0522333920613558E-2</v>
      </c>
      <c r="C85" s="71">
        <f>('Price Data'!C84-'Price Data'!C83)/'Price Data'!C83</f>
        <v>6.4868960871964092E-4</v>
      </c>
      <c r="D85" s="71">
        <f t="shared" si="4"/>
        <v>4.0522333920613558E-2</v>
      </c>
      <c r="E85" s="71">
        <f t="shared" si="5"/>
        <v>6.4868960871964092E-4</v>
      </c>
      <c r="F85" s="70">
        <f t="shared" si="6"/>
        <v>2.6286416935369441E-5</v>
      </c>
      <c r="G85" s="70">
        <f t="shared" si="7"/>
        <v>4.2079820846084084E-7</v>
      </c>
    </row>
    <row r="86" spans="1:7" x14ac:dyDescent="0.3">
      <c r="A86" s="72">
        <v>46024</v>
      </c>
      <c r="B86" s="71">
        <f>('Price Data'!B85-'Price Data'!B84)/'Price Data'!B84</f>
        <v>1.723107569721111E-2</v>
      </c>
      <c r="C86" s="71">
        <f>('Price Data'!C85-'Price Data'!C84)/'Price Data'!C84</f>
        <v>6.9607653782238956E-3</v>
      </c>
      <c r="D86" s="71">
        <f t="shared" si="4"/>
        <v>1.723107569721111E-2</v>
      </c>
      <c r="E86" s="71">
        <f t="shared" si="5"/>
        <v>6.9607653782238956E-3</v>
      </c>
      <c r="F86" s="70">
        <f t="shared" si="6"/>
        <v>1.1994147514270226E-4</v>
      </c>
      <c r="G86" s="70">
        <f t="shared" si="7"/>
        <v>4.8452254650680455E-5</v>
      </c>
    </row>
    <row r="87" spans="1:7" x14ac:dyDescent="0.3">
      <c r="A87" s="72">
        <v>46027</v>
      </c>
      <c r="B87" s="71">
        <f>('Price Data'!B86-'Price Data'!B85)/'Price Data'!B85</f>
        <v>1.2239302849309705E-2</v>
      </c>
      <c r="C87" s="71">
        <f>('Price Data'!C86-'Price Data'!C85)/'Price Data'!C85</f>
        <v>-2.9720588486642826E-3</v>
      </c>
      <c r="D87" s="71">
        <f t="shared" si="4"/>
        <v>1.2239302849309705E-2</v>
      </c>
      <c r="E87" s="71">
        <f t="shared" si="5"/>
        <v>-2.9720588486642826E-3</v>
      </c>
      <c r="F87" s="70">
        <f t="shared" si="6"/>
        <v>-3.6375928334772874E-5</v>
      </c>
      <c r="G87" s="70">
        <f t="shared" si="7"/>
        <v>8.8331337999236603E-6</v>
      </c>
    </row>
    <row r="88" spans="1:7" x14ac:dyDescent="0.3">
      <c r="A88" s="72">
        <v>46028</v>
      </c>
      <c r="B88" s="71">
        <f>('Price Data'!B87-'Price Data'!B86)/'Price Data'!B86</f>
        <v>-3.9659508609014406E-3</v>
      </c>
      <c r="C88" s="71">
        <f>('Price Data'!C87-'Price Data'!C86)/'Price Data'!C86</f>
        <v>-2.7275878751861328E-3</v>
      </c>
      <c r="D88" s="71">
        <f t="shared" si="4"/>
        <v>-3.9659508609014406E-3</v>
      </c>
      <c r="E88" s="71">
        <f t="shared" si="5"/>
        <v>-2.7275878751861328E-3</v>
      </c>
      <c r="F88" s="70">
        <f t="shared" si="6"/>
        <v>1.0817479481778775E-5</v>
      </c>
      <c r="G88" s="70">
        <f t="shared" si="7"/>
        <v>7.4397356168624029E-6</v>
      </c>
    </row>
    <row r="89" spans="1:7" x14ac:dyDescent="0.3">
      <c r="A89" s="72">
        <v>46029</v>
      </c>
      <c r="B89" s="71">
        <f>('Price Data'!B88-'Price Data'!B87)/'Price Data'!B87</f>
        <v>-4.3702049140526365E-3</v>
      </c>
      <c r="C89" s="71">
        <f>('Price Data'!C88-'Price Data'!C87)/'Price Data'!C87</f>
        <v>-1.4496518161711898E-3</v>
      </c>
      <c r="D89" s="71">
        <f t="shared" si="4"/>
        <v>-4.3702049140526365E-3</v>
      </c>
      <c r="E89" s="71">
        <f t="shared" si="5"/>
        <v>-1.4496518161711898E-3</v>
      </c>
      <c r="F89" s="70">
        <f t="shared" si="6"/>
        <v>6.3352754906966625E-6</v>
      </c>
      <c r="G89" s="70">
        <f t="shared" si="7"/>
        <v>2.1014903881284292E-6</v>
      </c>
    </row>
    <row r="90" spans="1:7" x14ac:dyDescent="0.3">
      <c r="A90" s="72">
        <v>46030</v>
      </c>
      <c r="B90" s="71">
        <f>('Price Data'!B89-'Price Data'!B88)/'Price Data'!B88</f>
        <v>-2.5165821303160425E-2</v>
      </c>
      <c r="C90" s="71">
        <f>('Price Data'!C89-'Price Data'!C88)/'Price Data'!C88</f>
        <v>-1.009534921530566E-2</v>
      </c>
      <c r="D90" s="71">
        <f t="shared" si="4"/>
        <v>-2.5165821303160425E-2</v>
      </c>
      <c r="E90" s="71">
        <f t="shared" si="5"/>
        <v>-1.009534921530566E-2</v>
      </c>
      <c r="F90" s="70">
        <f t="shared" si="6"/>
        <v>2.5405775434538306E-4</v>
      </c>
      <c r="G90" s="70">
        <f t="shared" si="7"/>
        <v>1.0191607577897262E-4</v>
      </c>
    </row>
    <row r="91" spans="1:7" x14ac:dyDescent="0.3">
      <c r="A91" s="72">
        <v>46031</v>
      </c>
      <c r="B91" s="71">
        <f>('Price Data'!B90-'Price Data'!B89)/'Price Data'!B89</f>
        <v>-1.8911346808084827E-2</v>
      </c>
      <c r="C91" s="71">
        <f>('Price Data'!C90-'Price Data'!C89)/'Price Data'!C89</f>
        <v>-7.4796584592019232E-3</v>
      </c>
      <c r="D91" s="71">
        <f t="shared" si="4"/>
        <v>-1.8911346808084827E-2</v>
      </c>
      <c r="E91" s="71">
        <f t="shared" si="5"/>
        <v>-7.4796584592019232E-3</v>
      </c>
      <c r="F91" s="70">
        <f t="shared" si="6"/>
        <v>1.4145041512799296E-4</v>
      </c>
      <c r="G91" s="70">
        <f t="shared" si="7"/>
        <v>5.5945290666310886E-5</v>
      </c>
    </row>
    <row r="92" spans="1:7" x14ac:dyDescent="0.3">
      <c r="A92" s="72">
        <v>46034</v>
      </c>
      <c r="B92" s="71">
        <f>('Price Data'!B91-'Price Data'!B90)/'Price Data'!B90</f>
        <v>1.744008159102501E-2</v>
      </c>
      <c r="C92" s="71">
        <f>('Price Data'!C91-'Price Data'!C90)/'Price Data'!C90</f>
        <v>4.1641845090000405E-3</v>
      </c>
      <c r="D92" s="71">
        <f t="shared" si="4"/>
        <v>1.744008159102501E-2</v>
      </c>
      <c r="E92" s="71">
        <f t="shared" si="5"/>
        <v>4.1641845090000405E-3</v>
      </c>
      <c r="F92" s="70">
        <f t="shared" si="6"/>
        <v>7.262371759704312E-5</v>
      </c>
      <c r="G92" s="70">
        <f t="shared" si="7"/>
        <v>1.734043262499591E-5</v>
      </c>
    </row>
    <row r="93" spans="1:7" x14ac:dyDescent="0.3">
      <c r="A93" s="72">
        <v>46035</v>
      </c>
      <c r="B93" s="71">
        <f>('Price Data'!B92-'Price Data'!B91)/'Price Data'!B91</f>
        <v>-9.3223736968725615E-3</v>
      </c>
      <c r="C93" s="71">
        <f>('Price Data'!C92-'Price Data'!C91)/'Price Data'!C91</f>
        <v>-2.2469731778482459E-3</v>
      </c>
      <c r="D93" s="71">
        <f t="shared" si="4"/>
        <v>-9.3223736968725615E-3</v>
      </c>
      <c r="E93" s="71">
        <f t="shared" si="5"/>
        <v>-2.2469731778482459E-3</v>
      </c>
      <c r="F93" s="70">
        <f t="shared" si="6"/>
        <v>2.094712365075064E-5</v>
      </c>
      <c r="G93" s="70">
        <f t="shared" si="7"/>
        <v>5.0488884619694449E-6</v>
      </c>
    </row>
    <row r="94" spans="1:7" x14ac:dyDescent="0.3">
      <c r="A94" s="72">
        <v>46036</v>
      </c>
      <c r="B94" s="71">
        <f>('Price Data'!B93-'Price Data'!B92)/'Price Data'!B92</f>
        <v>1.0118385105737126E-3</v>
      </c>
      <c r="C94" s="71">
        <f>('Price Data'!C93-'Price Data'!C92)/'Price Data'!C92</f>
        <v>-2.5920729977499382E-3</v>
      </c>
      <c r="D94" s="71">
        <f t="shared" si="4"/>
        <v>1.0118385105737126E-3</v>
      </c>
      <c r="E94" s="71">
        <f t="shared" si="5"/>
        <v>-2.5920729977499382E-3</v>
      </c>
      <c r="F94" s="70">
        <f t="shared" si="6"/>
        <v>-2.6227592813416356E-6</v>
      </c>
      <c r="G94" s="70">
        <f t="shared" si="7"/>
        <v>6.7188424256643508E-6</v>
      </c>
    </row>
    <row r="95" spans="1:7" x14ac:dyDescent="0.3">
      <c r="A95" s="72">
        <v>46038</v>
      </c>
      <c r="B95" s="71">
        <f>('Price Data'!B94-'Price Data'!B93)/'Price Data'!B93</f>
        <v>-3.7400181946830404E-3</v>
      </c>
      <c r="C95" s="71">
        <f>('Price Data'!C94-'Price Data'!C93)/'Price Data'!C93</f>
        <v>1.1201764229162772E-3</v>
      </c>
      <c r="D95" s="71">
        <f t="shared" si="4"/>
        <v>-3.7400181946830404E-3</v>
      </c>
      <c r="E95" s="71">
        <f t="shared" si="5"/>
        <v>1.1201764229162772E-3</v>
      </c>
      <c r="F95" s="70">
        <f t="shared" si="6"/>
        <v>-4.1894802029618409E-6</v>
      </c>
      <c r="G95" s="70">
        <f t="shared" si="7"/>
        <v>1.2547952184575063E-6</v>
      </c>
    </row>
    <row r="96" spans="1:7" x14ac:dyDescent="0.3">
      <c r="A96" s="72">
        <v>46041</v>
      </c>
      <c r="B96" s="71">
        <f>('Price Data'!B95-'Price Data'!B94)/'Price Data'!B94</f>
        <v>-1.3088474025974003E-2</v>
      </c>
      <c r="C96" s="71">
        <f>('Price Data'!C95-'Price Data'!C94)/'Price Data'!C94</f>
        <v>-4.2363398957357768E-3</v>
      </c>
      <c r="D96" s="71">
        <f t="shared" si="4"/>
        <v>-1.3088474025974003E-2</v>
      </c>
      <c r="E96" s="71">
        <f t="shared" si="5"/>
        <v>-4.2363398957357768E-3</v>
      </c>
      <c r="F96" s="70">
        <f t="shared" si="6"/>
        <v>5.5447224690535132E-5</v>
      </c>
      <c r="G96" s="70">
        <f t="shared" si="7"/>
        <v>1.7946575712202612E-5</v>
      </c>
    </row>
    <row r="97" spans="1:7" x14ac:dyDescent="0.3">
      <c r="A97" s="72">
        <v>46042</v>
      </c>
      <c r="B97" s="71">
        <f>('Price Data'!B96-'Price Data'!B95)/'Price Data'!B95</f>
        <v>-1.4906960008224529E-2</v>
      </c>
      <c r="C97" s="71">
        <f>('Price Data'!C96-'Price Data'!C95)/'Price Data'!C95</f>
        <v>-1.3796877137441129E-2</v>
      </c>
      <c r="D97" s="71">
        <f t="shared" si="4"/>
        <v>-1.4906960008224529E-2</v>
      </c>
      <c r="E97" s="71">
        <f t="shared" si="5"/>
        <v>-1.3796877137441129E-2</v>
      </c>
      <c r="F97" s="70">
        <f t="shared" si="6"/>
        <v>2.0566949572622224E-4</v>
      </c>
      <c r="G97" s="70">
        <f t="shared" si="7"/>
        <v>1.903538187456457E-4</v>
      </c>
    </row>
    <row r="98" spans="1:7" x14ac:dyDescent="0.3">
      <c r="A98" s="72">
        <v>46043</v>
      </c>
      <c r="B98" s="71">
        <f>('Price Data'!B97-'Price Data'!B96)/'Price Data'!B96</f>
        <v>-2.713420997704052E-3</v>
      </c>
      <c r="C98" s="71">
        <f>('Price Data'!C97-'Price Data'!C96)/'Price Data'!C96</f>
        <v>-2.9723570791637768E-3</v>
      </c>
      <c r="D98" s="71">
        <f t="shared" si="4"/>
        <v>-2.713420997704052E-3</v>
      </c>
      <c r="E98" s="71">
        <f t="shared" si="5"/>
        <v>-2.9723570791637768E-3</v>
      </c>
      <c r="F98" s="70">
        <f t="shared" si="6"/>
        <v>8.0652561112772765E-6</v>
      </c>
      <c r="G98" s="70">
        <f t="shared" si="7"/>
        <v>8.8349066060550185E-6</v>
      </c>
    </row>
    <row r="99" spans="1:7" x14ac:dyDescent="0.3">
      <c r="A99" s="72">
        <v>46044</v>
      </c>
      <c r="B99" s="71">
        <f>('Price Data'!B98-'Price Data'!B97)/'Price Data'!B97</f>
        <v>3.0452071996651342E-2</v>
      </c>
      <c r="C99" s="71">
        <f>('Price Data'!C98-'Price Data'!C97)/'Price Data'!C97</f>
        <v>5.2628440822816832E-3</v>
      </c>
      <c r="D99" s="71">
        <f t="shared" si="4"/>
        <v>3.0452071996651342E-2</v>
      </c>
      <c r="E99" s="71">
        <f t="shared" si="5"/>
        <v>5.2628440822816832E-3</v>
      </c>
      <c r="F99" s="70">
        <f t="shared" si="6"/>
        <v>1.6026450690079228E-4</v>
      </c>
      <c r="G99" s="70">
        <f t="shared" si="7"/>
        <v>2.7697527834407333E-5</v>
      </c>
    </row>
    <row r="100" spans="1:7" x14ac:dyDescent="0.3">
      <c r="A100" s="72">
        <v>46045</v>
      </c>
      <c r="B100" s="71">
        <f>('Price Data'!B99-'Price Data'!B98)/'Price Data'!B98</f>
        <v>-2.9856809180461144E-2</v>
      </c>
      <c r="C100" s="71">
        <f>('Price Data'!C99-'Price Data'!C98)/'Price Data'!C98</f>
        <v>-9.5393813340503512E-3</v>
      </c>
      <c r="D100" s="71">
        <f t="shared" si="4"/>
        <v>-2.9856809180461144E-2</v>
      </c>
      <c r="E100" s="71">
        <f t="shared" si="5"/>
        <v>-9.5393813340503512E-3</v>
      </c>
      <c r="F100" s="70">
        <f t="shared" si="6"/>
        <v>2.848154881903942E-4</v>
      </c>
      <c r="G100" s="70">
        <f t="shared" si="7"/>
        <v>9.0999796236428259E-5</v>
      </c>
    </row>
    <row r="101" spans="1:7" x14ac:dyDescent="0.3">
      <c r="A101" s="72">
        <v>46049</v>
      </c>
      <c r="B101" s="71">
        <f>('Price Data'!B100-'Price Data'!B99)/'Price Data'!B99</f>
        <v>-7.871872710143403E-2</v>
      </c>
      <c r="C101" s="71">
        <f>('Price Data'!C100-'Price Data'!C99)/'Price Data'!C99</f>
        <v>5.0601529423741397E-3</v>
      </c>
      <c r="D101" s="71">
        <f t="shared" si="4"/>
        <v>-7.871872710143403E-2</v>
      </c>
      <c r="E101" s="71">
        <f t="shared" si="5"/>
        <v>5.0601529423741397E-3</v>
      </c>
      <c r="F101" s="70">
        <f t="shared" si="6"/>
        <v>-3.9832879856226833E-4</v>
      </c>
      <c r="G101" s="70">
        <f t="shared" si="7"/>
        <v>2.5605147800217665E-5</v>
      </c>
    </row>
    <row r="102" spans="1:7" x14ac:dyDescent="0.3">
      <c r="A102" s="72">
        <v>46050</v>
      </c>
      <c r="B102" s="71">
        <f>('Price Data'!B101-'Price Data'!B100)/'Price Data'!B100</f>
        <v>1.4089308033178021E-2</v>
      </c>
      <c r="C102" s="71">
        <f>('Price Data'!C101-'Price Data'!C100)/'Price Data'!C100</f>
        <v>6.6473621074540435E-3</v>
      </c>
      <c r="D102" s="71">
        <f t="shared" si="4"/>
        <v>1.4089308033178021E-2</v>
      </c>
      <c r="E102" s="71">
        <f t="shared" si="5"/>
        <v>6.6473621074540435E-3</v>
      </c>
      <c r="F102" s="70">
        <f t="shared" si="6"/>
        <v>9.3656732339995435E-5</v>
      </c>
      <c r="G102" s="70">
        <f t="shared" si="7"/>
        <v>4.4187422987615863E-5</v>
      </c>
    </row>
    <row r="103" spans="1:7" x14ac:dyDescent="0.3">
      <c r="A103" s="72">
        <v>46051</v>
      </c>
      <c r="B103" s="71">
        <f>('Price Data'!B102-'Price Data'!B101)/'Price Data'!B101</f>
        <v>2.8571428571428571E-2</v>
      </c>
      <c r="C103" s="71">
        <f>('Price Data'!C102-'Price Data'!C101)/'Price Data'!C101</f>
        <v>3.0048041353050261E-3</v>
      </c>
      <c r="D103" s="71">
        <f t="shared" si="4"/>
        <v>2.8571428571428571E-2</v>
      </c>
      <c r="E103" s="71">
        <f t="shared" si="5"/>
        <v>3.0048041353050261E-3</v>
      </c>
      <c r="F103" s="70">
        <f t="shared" si="6"/>
        <v>8.5851546723000749E-5</v>
      </c>
      <c r="G103" s="70">
        <f t="shared" si="7"/>
        <v>9.0288478915461864E-6</v>
      </c>
    </row>
    <row r="104" spans="1:7" x14ac:dyDescent="0.3">
      <c r="A104" s="72">
        <v>46052</v>
      </c>
      <c r="B104" s="71">
        <f>('Price Data'!B103-'Price Data'!B102)/'Price Data'!B102</f>
        <v>1.7429193899782382E-3</v>
      </c>
      <c r="C104" s="71">
        <f>('Price Data'!C103-'Price Data'!C102)/'Price Data'!C102</f>
        <v>-3.8652341368037167E-3</v>
      </c>
      <c r="D104" s="71">
        <f t="shared" si="4"/>
        <v>1.7429193899782382E-3</v>
      </c>
      <c r="E104" s="71">
        <f t="shared" si="5"/>
        <v>-3.8652341368037167E-3</v>
      </c>
      <c r="F104" s="70">
        <f t="shared" si="6"/>
        <v>-6.7367915238409956E-6</v>
      </c>
      <c r="G104" s="70">
        <f t="shared" si="7"/>
        <v>1.4940034932312774E-5</v>
      </c>
    </row>
    <row r="105" spans="1:7" x14ac:dyDescent="0.3">
      <c r="A105" s="72">
        <v>46054</v>
      </c>
      <c r="B105" s="71">
        <f>('Price Data'!B104-'Price Data'!B103)/'Price Data'!B103</f>
        <v>-4.1322314049586778E-2</v>
      </c>
      <c r="C105" s="71">
        <f>('Price Data'!C104-'Price Data'!C103)/'Price Data'!C103</f>
        <v>-1.9557159867538972E-2</v>
      </c>
      <c r="D105" s="71">
        <f t="shared" si="4"/>
        <v>-4.1322314049586778E-2</v>
      </c>
      <c r="E105" s="71">
        <f t="shared" si="5"/>
        <v>-1.9557159867538972E-2</v>
      </c>
      <c r="F105" s="70">
        <f t="shared" si="6"/>
        <v>8.0814710196442036E-4</v>
      </c>
      <c r="G105" s="70">
        <f t="shared" si="7"/>
        <v>3.8248250208447698E-4</v>
      </c>
    </row>
    <row r="106" spans="1:7" x14ac:dyDescent="0.3">
      <c r="A106" s="72">
        <v>46055</v>
      </c>
      <c r="B106" s="71">
        <f>('Price Data'!B105-'Price Data'!B104)/'Price Data'!B104</f>
        <v>2.4274047186932823E-2</v>
      </c>
      <c r="C106" s="71">
        <f>('Price Data'!C105-'Price Data'!C104)/'Price Data'!C104</f>
        <v>1.0591953015957443E-2</v>
      </c>
      <c r="D106" s="71">
        <f t="shared" si="4"/>
        <v>2.4274047186932823E-2</v>
      </c>
      <c r="E106" s="71">
        <f t="shared" si="5"/>
        <v>1.0591953015957443E-2</v>
      </c>
      <c r="F106" s="70">
        <f t="shared" si="6"/>
        <v>2.571095673111264E-4</v>
      </c>
      <c r="G106" s="70">
        <f t="shared" si="7"/>
        <v>1.1218946869224997E-4</v>
      </c>
    </row>
    <row r="107" spans="1:7" x14ac:dyDescent="0.3">
      <c r="A107" s="72">
        <v>46056</v>
      </c>
      <c r="B107" s="71">
        <f>('Price Data'!B106-'Price Data'!B105)/'Price Data'!B105</f>
        <v>1.6943521594684336E-2</v>
      </c>
      <c r="C107" s="71">
        <f>('Price Data'!C106-'Price Data'!C105)/'Price Data'!C105</f>
        <v>2.5475917156932995E-2</v>
      </c>
      <c r="D107" s="71">
        <f t="shared" si="4"/>
        <v>1.6943521594684336E-2</v>
      </c>
      <c r="E107" s="71">
        <f t="shared" si="5"/>
        <v>2.5475917156932995E-2</v>
      </c>
      <c r="F107" s="70">
        <f t="shared" si="6"/>
        <v>4.316517524928834E-4</v>
      </c>
      <c r="G107" s="70">
        <f t="shared" si="7"/>
        <v>6.4902235498691299E-4</v>
      </c>
    </row>
    <row r="108" spans="1:7" x14ac:dyDescent="0.3">
      <c r="A108" s="72">
        <v>46057</v>
      </c>
      <c r="B108" s="71">
        <f>('Price Data'!B107-'Price Data'!B106)/'Price Data'!B106</f>
        <v>2.1125993683981371E-2</v>
      </c>
      <c r="C108" s="71">
        <f>('Price Data'!C107-'Price Data'!C106)/'Price Data'!C106</f>
        <v>1.8831952517826506E-3</v>
      </c>
      <c r="D108" s="71">
        <f t="shared" si="4"/>
        <v>2.1125993683981371E-2</v>
      </c>
      <c r="E108" s="71">
        <f t="shared" si="5"/>
        <v>1.8831952517826506E-3</v>
      </c>
      <c r="F108" s="70">
        <f t="shared" si="6"/>
        <v>3.9784370994863984E-5</v>
      </c>
      <c r="G108" s="70">
        <f t="shared" si="7"/>
        <v>3.5464243563367205E-6</v>
      </c>
    </row>
    <row r="109" spans="1:7" x14ac:dyDescent="0.3">
      <c r="A109" s="72">
        <v>46058</v>
      </c>
      <c r="B109" s="71">
        <f>('Price Data'!B108-'Price Data'!B107)/'Price Data'!B107</f>
        <v>1.0877679428388538E-2</v>
      </c>
      <c r="C109" s="71">
        <f>('Price Data'!C108-'Price Data'!C107)/'Price Data'!C107</f>
        <v>-5.1675977653631569E-3</v>
      </c>
      <c r="D109" s="71">
        <f t="shared" si="4"/>
        <v>1.0877679428388538E-2</v>
      </c>
      <c r="E109" s="71">
        <f t="shared" si="5"/>
        <v>-5.1675977653631569E-3</v>
      </c>
      <c r="F109" s="70">
        <f t="shared" si="6"/>
        <v>-5.621147190647739E-5</v>
      </c>
      <c r="G109" s="70">
        <f t="shared" si="7"/>
        <v>2.6704066664586293E-5</v>
      </c>
    </row>
    <row r="110" spans="1:7" x14ac:dyDescent="0.3">
      <c r="A110" s="72">
        <v>46059</v>
      </c>
      <c r="B110" s="71">
        <f>('Price Data'!B109-'Price Data'!B108)/'Price Data'!B108</f>
        <v>-1.6879417660090967E-3</v>
      </c>
      <c r="C110" s="71">
        <f>('Price Data'!C109-'Price Data'!C108)/'Price Data'!C108</f>
        <v>1.9849626405853281E-3</v>
      </c>
      <c r="D110" s="71">
        <f t="shared" si="4"/>
        <v>-1.6879417660090967E-3</v>
      </c>
      <c r="E110" s="71">
        <f t="shared" si="5"/>
        <v>1.9849626405853281E-3</v>
      </c>
      <c r="F110" s="70">
        <f t="shared" si="6"/>
        <v>-3.3505013450116785E-6</v>
      </c>
      <c r="G110" s="70">
        <f t="shared" si="7"/>
        <v>3.9400766845194788E-6</v>
      </c>
    </row>
    <row r="111" spans="1:7" x14ac:dyDescent="0.3">
      <c r="A111" s="72">
        <v>46062</v>
      </c>
      <c r="B111" s="71">
        <f>('Price Data'!B110-'Price Data'!B109)/'Price Data'!B109</f>
        <v>1.4688787910810621E-2</v>
      </c>
      <c r="C111" s="71">
        <f>('Price Data'!C110-'Price Data'!C109)/'Price Data'!C109</f>
        <v>6.7565200807979597E-3</v>
      </c>
      <c r="D111" s="71">
        <f t="shared" si="4"/>
        <v>1.4688787910810621E-2</v>
      </c>
      <c r="E111" s="71">
        <f t="shared" si="5"/>
        <v>6.7565200807979597E-3</v>
      </c>
      <c r="F111" s="70">
        <f t="shared" si="6"/>
        <v>9.9245090481974279E-5</v>
      </c>
      <c r="G111" s="70">
        <f t="shared" si="7"/>
        <v>4.5650563602226065E-5</v>
      </c>
    </row>
    <row r="112" spans="1:7" x14ac:dyDescent="0.3">
      <c r="A112" s="72">
        <v>46063</v>
      </c>
      <c r="B112" s="71">
        <f>('Price Data'!B111-'Price Data'!B110)/'Price Data'!B110</f>
        <v>7.4984378254529596E-3</v>
      </c>
      <c r="C112" s="71">
        <f>('Price Data'!C111-'Price Data'!C110)/'Price Data'!C110</f>
        <v>2.6230027873029725E-3</v>
      </c>
      <c r="D112" s="71">
        <f t="shared" si="4"/>
        <v>7.4984378254529596E-3</v>
      </c>
      <c r="E112" s="71">
        <f t="shared" si="5"/>
        <v>2.6230027873029725E-3</v>
      </c>
      <c r="F112" s="70">
        <f t="shared" si="6"/>
        <v>1.9668423316581152E-5</v>
      </c>
      <c r="G112" s="70">
        <f t="shared" si="7"/>
        <v>6.8801436221991633E-6</v>
      </c>
    </row>
    <row r="113" spans="1:7" x14ac:dyDescent="0.3">
      <c r="A113" s="72">
        <v>46064</v>
      </c>
      <c r="B113" s="71">
        <f>('Price Data'!B112-'Price Data'!B111)/'Price Data'!B111</f>
        <v>-2.7909861484390446E-3</v>
      </c>
      <c r="C113" s="71">
        <f>('Price Data'!C112-'Price Data'!C111)/'Price Data'!C111</f>
        <v>7.210291824029199E-4</v>
      </c>
      <c r="D113" s="71">
        <f t="shared" si="4"/>
        <v>-2.7909861484390446E-3</v>
      </c>
      <c r="E113" s="71">
        <f t="shared" si="5"/>
        <v>7.210291824029199E-4</v>
      </c>
      <c r="F113" s="70">
        <f t="shared" si="6"/>
        <v>-2.0123824607068785E-6</v>
      </c>
      <c r="G113" s="70">
        <f t="shared" si="7"/>
        <v>5.1988308187662312E-7</v>
      </c>
    </row>
    <row r="114" spans="1:7" x14ac:dyDescent="0.3">
      <c r="A114" s="72">
        <v>46065</v>
      </c>
      <c r="B114" s="71">
        <f>('Price Data'!B113-'Price Data'!B112)/'Price Data'!B112</f>
        <v>-5.9085726132476887E-3</v>
      </c>
      <c r="C114" s="71">
        <f>('Price Data'!C113-'Price Data'!C112)/'Price Data'!C112</f>
        <v>-5.6504141004127643E-3</v>
      </c>
      <c r="D114" s="71">
        <f t="shared" si="4"/>
        <v>-5.9085726132476887E-3</v>
      </c>
      <c r="E114" s="71">
        <f t="shared" si="5"/>
        <v>-5.6504141004127643E-3</v>
      </c>
      <c r="F114" s="70">
        <f t="shared" si="6"/>
        <v>3.3385882007207436E-5</v>
      </c>
      <c r="G114" s="70">
        <f t="shared" si="7"/>
        <v>3.192717950614339E-5</v>
      </c>
    </row>
    <row r="115" spans="1:7" x14ac:dyDescent="0.3">
      <c r="A115" s="72">
        <v>46066</v>
      </c>
      <c r="B115" s="71">
        <f>('Price Data'!B114-'Price Data'!B113)/'Price Data'!B113</f>
        <v>-1.0010427528675727E-2</v>
      </c>
      <c r="C115" s="71">
        <f>('Price Data'!C114-'Price Data'!C113)/'Price Data'!C113</f>
        <v>-1.3023497318577845E-2</v>
      </c>
      <c r="D115" s="71">
        <f t="shared" si="4"/>
        <v>-1.0010427528675727E-2</v>
      </c>
      <c r="E115" s="71">
        <f t="shared" si="5"/>
        <v>-1.3023497318577845E-2</v>
      </c>
      <c r="F115" s="70">
        <f t="shared" si="6"/>
        <v>1.3037077607752618E-4</v>
      </c>
      <c r="G115" s="70">
        <f t="shared" si="7"/>
        <v>1.696114824070043E-4</v>
      </c>
    </row>
    <row r="116" spans="1:7" x14ac:dyDescent="0.3">
      <c r="A116" s="72">
        <v>46069</v>
      </c>
      <c r="B116" s="71">
        <f>('Price Data'!B115-'Price Data'!B114)/'Price Data'!B114</f>
        <v>3.2125552980829995E-2</v>
      </c>
      <c r="C116" s="71">
        <f>('Price Data'!C115-'Price Data'!C114)/'Price Data'!C114</f>
        <v>8.3094173396516622E-3</v>
      </c>
      <c r="D116" s="71">
        <f t="shared" si="4"/>
        <v>3.2125552980829995E-2</v>
      </c>
      <c r="E116" s="71">
        <f t="shared" si="5"/>
        <v>8.3094173396516622E-3</v>
      </c>
      <c r="F116" s="70">
        <f t="shared" si="6"/>
        <v>2.6694462698480693E-4</v>
      </c>
      <c r="G116" s="70">
        <f t="shared" si="7"/>
        <v>6.9046416524503706E-5</v>
      </c>
    </row>
    <row r="117" spans="1:7" x14ac:dyDescent="0.3">
      <c r="A117" s="72">
        <v>46070</v>
      </c>
      <c r="B117" s="71">
        <f>('Price Data'!B116-'Price Data'!B115)/'Price Data'!B115</f>
        <v>-5.3066639453004712E-3</v>
      </c>
      <c r="C117" s="71">
        <f>('Price Data'!C116-'Price Data'!C115)/'Price Data'!C115</f>
        <v>1.6606477110123119E-3</v>
      </c>
      <c r="D117" s="71">
        <f t="shared" si="4"/>
        <v>-5.3066639453004712E-3</v>
      </c>
      <c r="E117" s="71">
        <f t="shared" si="5"/>
        <v>1.6606477110123119E-3</v>
      </c>
      <c r="F117" s="70">
        <f t="shared" si="6"/>
        <v>-8.8124993338747918E-6</v>
      </c>
      <c r="G117" s="70">
        <f t="shared" si="7"/>
        <v>2.7577508200904309E-6</v>
      </c>
    </row>
    <row r="118" spans="1:7" x14ac:dyDescent="0.3">
      <c r="A118" s="72">
        <v>46071</v>
      </c>
      <c r="B118" s="71">
        <f>('Price Data'!B117-'Price Data'!B116)/'Price Data'!B116</f>
        <v>-2.2571047501795888E-3</v>
      </c>
      <c r="C118" s="71">
        <f>('Price Data'!C117-'Price Data'!C116)/'Price Data'!C116</f>
        <v>3.6520326214557241E-3</v>
      </c>
      <c r="D118" s="71">
        <f t="shared" si="4"/>
        <v>-2.2571047501795888E-3</v>
      </c>
      <c r="E118" s="71">
        <f t="shared" si="5"/>
        <v>3.6520326214557241E-3</v>
      </c>
      <c r="F118" s="70">
        <f t="shared" si="6"/>
        <v>-8.2430201776985306E-6</v>
      </c>
      <c r="G118" s="70">
        <f t="shared" si="7"/>
        <v>1.3337342268176767E-5</v>
      </c>
    </row>
    <row r="119" spans="1:7" x14ac:dyDescent="0.3">
      <c r="A119" s="72">
        <v>46072</v>
      </c>
      <c r="B119" s="71">
        <f>('Price Data'!B118-'Price Data'!B117)/'Price Data'!B117</f>
        <v>-1.2647814910025661E-2</v>
      </c>
      <c r="C119" s="71">
        <f>('Price Data'!C118-'Price Data'!C117)/'Price Data'!C117</f>
        <v>-1.4136684308474071E-2</v>
      </c>
      <c r="D119" s="71">
        <f t="shared" si="4"/>
        <v>-1.2647814910025661E-2</v>
      </c>
      <c r="E119" s="71">
        <f t="shared" si="5"/>
        <v>-1.4136684308474071E-2</v>
      </c>
      <c r="F119" s="70">
        <f t="shared" si="6"/>
        <v>1.7879816657504415E-4</v>
      </c>
      <c r="G119" s="70">
        <f t="shared" si="7"/>
        <v>1.9984584323745703E-4</v>
      </c>
    </row>
    <row r="120" spans="1:7" x14ac:dyDescent="0.3">
      <c r="A120" s="72">
        <v>46073</v>
      </c>
      <c r="B120" s="71">
        <f>('Price Data'!B119-'Price Data'!B118)/'Price Data'!B118</f>
        <v>2.8848156634034505E-2</v>
      </c>
      <c r="C120" s="71">
        <f>('Price Data'!C119-'Price Data'!C118)/'Price Data'!C118</f>
        <v>4.5925352641101209E-3</v>
      </c>
      <c r="D120" s="71">
        <f t="shared" si="4"/>
        <v>2.8848156634034505E-2</v>
      </c>
      <c r="E120" s="71">
        <f t="shared" si="5"/>
        <v>4.5925352641101209E-3</v>
      </c>
      <c r="F120" s="70">
        <f t="shared" si="6"/>
        <v>1.324861766463758E-4</v>
      </c>
      <c r="G120" s="70">
        <f t="shared" si="7"/>
        <v>2.109138015209502E-5</v>
      </c>
    </row>
    <row r="121" spans="1:7" x14ac:dyDescent="0.3">
      <c r="A121" s="72">
        <v>46076</v>
      </c>
      <c r="B121" s="71">
        <f>('Price Data'!B120-'Price Data'!B119)/'Price Data'!B119</f>
        <v>-1.5284947869217556E-2</v>
      </c>
      <c r="C121" s="71">
        <f>('Price Data'!C120-'Price Data'!C119)/'Price Data'!C119</f>
        <v>5.5433347998240208E-3</v>
      </c>
      <c r="D121" s="71">
        <f t="shared" si="4"/>
        <v>-1.5284947869217556E-2</v>
      </c>
      <c r="E121" s="71">
        <f t="shared" si="5"/>
        <v>5.5433347998240208E-3</v>
      </c>
      <c r="F121" s="70">
        <f t="shared" si="6"/>
        <v>-8.472958343692969E-5</v>
      </c>
      <c r="G121" s="70">
        <f t="shared" si="7"/>
        <v>3.0728560702940019E-5</v>
      </c>
    </row>
    <row r="122" spans="1:7" x14ac:dyDescent="0.3">
      <c r="A122" s="72">
        <v>46077</v>
      </c>
      <c r="B122" s="71">
        <f>('Price Data'!B121-'Price Data'!B120)/'Price Data'!B120</f>
        <v>7.9152960526316252E-3</v>
      </c>
      <c r="C122" s="71">
        <f>('Price Data'!C121-'Price Data'!C120)/'Price Data'!C120</f>
        <v>-1.1214171819702039E-2</v>
      </c>
      <c r="D122" s="71">
        <f t="shared" si="4"/>
        <v>7.9152960526316252E-3</v>
      </c>
      <c r="E122" s="71">
        <f t="shared" si="5"/>
        <v>-1.1214171819702039E-2</v>
      </c>
      <c r="F122" s="70">
        <f t="shared" si="6"/>
        <v>-8.876348993802036E-5</v>
      </c>
      <c r="G122" s="70">
        <f t="shared" si="7"/>
        <v>1.2575764960179935E-4</v>
      </c>
    </row>
    <row r="123" spans="1:7" x14ac:dyDescent="0.3">
      <c r="A123" s="72">
        <v>46078</v>
      </c>
      <c r="B123" s="71">
        <f>('Price Data'!B122-'Price Data'!B121)/'Price Data'!B121</f>
        <v>-4.0795512493623382E-4</v>
      </c>
      <c r="C123" s="71">
        <f>('Price Data'!C122-'Price Data'!C121)/'Price Data'!C121</f>
        <v>2.2753508897860359E-3</v>
      </c>
      <c r="D123" s="71">
        <f t="shared" si="4"/>
        <v>-4.0795512493623382E-4</v>
      </c>
      <c r="E123" s="71">
        <f t="shared" si="5"/>
        <v>2.2753508897860359E-3</v>
      </c>
      <c r="F123" s="70">
        <f t="shared" si="6"/>
        <v>-9.2824105651643305E-7</v>
      </c>
      <c r="G123" s="70">
        <f t="shared" si="7"/>
        <v>5.1772216716501051E-6</v>
      </c>
    </row>
    <row r="124" spans="1:7" x14ac:dyDescent="0.3">
      <c r="A124" s="72">
        <v>46079</v>
      </c>
      <c r="B124" s="71">
        <f>('Price Data'!B123-'Price Data'!B122)/'Price Data'!B122</f>
        <v>1.7549229670441722E-2</v>
      </c>
      <c r="C124" s="71">
        <f>('Price Data'!C123-'Price Data'!C122)/'Price Data'!C122</f>
        <v>5.5135877563030602E-4</v>
      </c>
      <c r="D124" s="71">
        <f t="shared" si="4"/>
        <v>1.7549229670441722E-2</v>
      </c>
      <c r="E124" s="71">
        <f t="shared" si="5"/>
        <v>5.5135877563030602E-4</v>
      </c>
      <c r="F124" s="70">
        <f t="shared" si="6"/>
        <v>9.6759217843497876E-6</v>
      </c>
      <c r="G124" s="70">
        <f t="shared" si="7"/>
        <v>3.0399649946455017E-7</v>
      </c>
    </row>
    <row r="125" spans="1:7" x14ac:dyDescent="0.3">
      <c r="A125" s="72">
        <v>46080</v>
      </c>
      <c r="B125" s="71">
        <f>('Price Data'!B124-'Price Data'!B123)/'Price Data'!B123</f>
        <v>-2.1859019352251034E-2</v>
      </c>
      <c r="C125" s="71">
        <f>('Price Data'!C124-'Price Data'!C123)/'Price Data'!C123</f>
        <v>-1.2468353561560204E-2</v>
      </c>
      <c r="D125" s="71">
        <f t="shared" si="4"/>
        <v>-2.1859019352251034E-2</v>
      </c>
      <c r="E125" s="71">
        <f t="shared" si="5"/>
        <v>-1.2468353561560204E-2</v>
      </c>
      <c r="F125" s="70">
        <f t="shared" si="6"/>
        <v>2.725459817928526E-4</v>
      </c>
      <c r="G125" s="70">
        <f t="shared" si="7"/>
        <v>1.5545984053607102E-4</v>
      </c>
    </row>
    <row r="126" spans="1:7" x14ac:dyDescent="0.3">
      <c r="A126" s="72">
        <v>46083</v>
      </c>
      <c r="B126" s="71">
        <f>('Price Data'!B125-'Price Data'!B124)/'Price Data'!B124</f>
        <v>-1.3223987698616071E-2</v>
      </c>
      <c r="C126" s="71">
        <f>('Price Data'!C125-'Price Data'!C124)/'Price Data'!C124</f>
        <v>-1.2429181072059094E-2</v>
      </c>
      <c r="D126" s="71">
        <f t="shared" si="4"/>
        <v>-1.3223987698616071E-2</v>
      </c>
      <c r="E126" s="71">
        <f t="shared" si="5"/>
        <v>-1.2429181072059094E-2</v>
      </c>
      <c r="F126" s="70">
        <f t="shared" si="6"/>
        <v>1.6436333760078118E-4</v>
      </c>
      <c r="G126" s="70">
        <f t="shared" si="7"/>
        <v>1.5448454212203206E-4</v>
      </c>
    </row>
    <row r="127" spans="1:7" x14ac:dyDescent="0.3">
      <c r="A127" s="72">
        <v>46085</v>
      </c>
      <c r="B127" s="71">
        <f>('Price Data'!B126-'Price Data'!B125)/'Price Data'!B125</f>
        <v>-2.7529607313525866E-2</v>
      </c>
      <c r="C127" s="71">
        <f>('Price Data'!C126-'Price Data'!C125)/'Price Data'!C125</f>
        <v>-1.5491218827541581E-2</v>
      </c>
      <c r="D127" s="71">
        <f t="shared" si="4"/>
        <v>-2.7529607313525866E-2</v>
      </c>
      <c r="E127" s="71">
        <f t="shared" si="5"/>
        <v>-1.5491218827541581E-2</v>
      </c>
      <c r="F127" s="70">
        <f t="shared" si="6"/>
        <v>4.264671711301183E-4</v>
      </c>
      <c r="G127" s="70">
        <f t="shared" si="7"/>
        <v>2.3997786076277876E-4</v>
      </c>
    </row>
    <row r="128" spans="1:7" x14ac:dyDescent="0.3">
      <c r="A128" s="72">
        <v>46086</v>
      </c>
      <c r="B128" s="71">
        <f>('Price Data'!B127-'Price Data'!B126)/'Price Data'!B126</f>
        <v>2.4463198376241831E-2</v>
      </c>
      <c r="C128" s="71">
        <f>('Price Data'!C127-'Price Data'!C126)/'Price Data'!C126</f>
        <v>1.1658258613998957E-2</v>
      </c>
      <c r="D128" s="71">
        <f t="shared" si="4"/>
        <v>2.4463198376241831E-2</v>
      </c>
      <c r="E128" s="71">
        <f t="shared" si="5"/>
        <v>1.1658258613998957E-2</v>
      </c>
      <c r="F128" s="70">
        <f t="shared" si="6"/>
        <v>2.8519829319578662E-4</v>
      </c>
      <c r="G128" s="70">
        <f t="shared" si="7"/>
        <v>1.3591499391088087E-4</v>
      </c>
    </row>
    <row r="129" spans="1:7" x14ac:dyDescent="0.3">
      <c r="A129" s="72">
        <v>46087</v>
      </c>
      <c r="B129" s="71">
        <f>('Price Data'!B128-'Price Data'!B127)/'Price Data'!B127</f>
        <v>1.814389989572469E-2</v>
      </c>
      <c r="C129" s="71">
        <f>('Price Data'!C128-'Price Data'!C127)/'Price Data'!C127</f>
        <v>-1.273727181325939E-2</v>
      </c>
      <c r="D129" s="71">
        <f t="shared" si="4"/>
        <v>1.814389989572469E-2</v>
      </c>
      <c r="E129" s="71">
        <f t="shared" si="5"/>
        <v>-1.273727181325939E-2</v>
      </c>
      <c r="F129" s="70">
        <f t="shared" si="6"/>
        <v>-2.3110378472441408E-4</v>
      </c>
      <c r="G129" s="70">
        <f t="shared" si="7"/>
        <v>1.6223809324485215E-4</v>
      </c>
    </row>
    <row r="130" spans="1:7" x14ac:dyDescent="0.3">
      <c r="A130" s="72">
        <v>46090</v>
      </c>
      <c r="B130" s="71">
        <f>('Price Data'!B129-'Price Data'!B128)/'Price Data'!B128</f>
        <v>-1.90495698484228E-2</v>
      </c>
      <c r="C130" s="71">
        <f>('Price Data'!C129-'Price Data'!C128)/'Price Data'!C128</f>
        <v>-1.7275755660938814E-2</v>
      </c>
      <c r="D130" s="71">
        <f t="shared" si="4"/>
        <v>-1.90495698484228E-2</v>
      </c>
      <c r="E130" s="71">
        <f t="shared" si="5"/>
        <v>-1.7275755660938814E-2</v>
      </c>
      <c r="F130" s="70">
        <f t="shared" si="6"/>
        <v>3.2909571414733952E-4</v>
      </c>
      <c r="G130" s="70">
        <f t="shared" si="7"/>
        <v>2.9845173365645951E-4</v>
      </c>
    </row>
    <row r="131" spans="1:7" x14ac:dyDescent="0.3">
      <c r="A131" s="72">
        <v>46091</v>
      </c>
      <c r="B131" s="71">
        <f>('Price Data'!B130-'Price Data'!B129)/'Price Data'!B129</f>
        <v>2.0463562330340388E-2</v>
      </c>
      <c r="C131" s="71">
        <f>('Price Data'!C130-'Price Data'!C129)/'Price Data'!C129</f>
        <v>9.719889878704235E-3</v>
      </c>
      <c r="D131" s="71">
        <f t="shared" si="4"/>
        <v>2.0463562330340388E-2</v>
      </c>
      <c r="E131" s="71">
        <f t="shared" si="5"/>
        <v>9.719889878704235E-3</v>
      </c>
      <c r="F131" s="70">
        <f t="shared" si="6"/>
        <v>1.9890357237690878E-4</v>
      </c>
      <c r="G131" s="70">
        <f t="shared" si="7"/>
        <v>9.4476259254137033E-5</v>
      </c>
    </row>
    <row r="132" spans="1:7" x14ac:dyDescent="0.3">
      <c r="A132" s="72">
        <v>46092</v>
      </c>
      <c r="B132" s="71">
        <f>('Price Data'!B131-'Price Data'!B130)/'Price Data'!B130</f>
        <v>-1.4323715981174312E-3</v>
      </c>
      <c r="C132" s="71">
        <f>('Price Data'!C131-'Price Data'!C130)/'Price Data'!C130</f>
        <v>-1.6270567481122433E-2</v>
      </c>
      <c r="D132" s="71">
        <f t="shared" si="4"/>
        <v>-1.4323715981174312E-3</v>
      </c>
      <c r="E132" s="71">
        <f t="shared" si="5"/>
        <v>-1.6270567481122433E-2</v>
      </c>
      <c r="F132" s="70">
        <f t="shared" si="6"/>
        <v>2.3305498745212848E-5</v>
      </c>
      <c r="G132" s="70">
        <f t="shared" si="7"/>
        <v>2.6473136615775883E-4</v>
      </c>
    </row>
    <row r="133" spans="1:7" x14ac:dyDescent="0.3">
      <c r="A133" s="72">
        <v>46093</v>
      </c>
      <c r="B133" s="71">
        <f>('Price Data'!B132-'Price Data'!B131)/'Price Data'!B131</f>
        <v>6.2090163934426137E-2</v>
      </c>
      <c r="C133" s="71">
        <f>('Price Data'!C132-'Price Data'!C131)/'Price Data'!C131</f>
        <v>-9.5404295078737704E-3</v>
      </c>
      <c r="D133" s="71">
        <f t="shared" si="4"/>
        <v>6.2090163934426137E-2</v>
      </c>
      <c r="E133" s="71">
        <f t="shared" si="5"/>
        <v>-9.5404295078737704E-3</v>
      </c>
      <c r="F133" s="70">
        <f t="shared" si="6"/>
        <v>-5.9236683214871884E-4</v>
      </c>
      <c r="G133" s="70">
        <f t="shared" si="7"/>
        <v>9.1019795194708546E-5</v>
      </c>
    </row>
    <row r="134" spans="1:7" x14ac:dyDescent="0.3">
      <c r="A134" s="72">
        <v>46094</v>
      </c>
      <c r="B134" s="71">
        <f>('Price Data'!B133-'Price Data'!B132)/'Price Data'!B132</f>
        <v>-1.0322207215897954E-2</v>
      </c>
      <c r="C134" s="71">
        <f>('Price Data'!C133-'Price Data'!C132)/'Price Data'!C132</f>
        <v>-2.0645835404403411E-2</v>
      </c>
      <c r="D134" s="71">
        <f t="shared" si="4"/>
        <v>-1.0322207215897954E-2</v>
      </c>
      <c r="E134" s="71">
        <f t="shared" si="5"/>
        <v>-2.0645835404403411E-2</v>
      </c>
      <c r="F134" s="70">
        <f t="shared" si="6"/>
        <v>2.1311059118957434E-4</v>
      </c>
      <c r="G134" s="70">
        <f t="shared" si="7"/>
        <v>4.2625051954571735E-4</v>
      </c>
    </row>
    <row r="135" spans="1:7" x14ac:dyDescent="0.3">
      <c r="A135" s="72">
        <v>46097</v>
      </c>
      <c r="B135" s="71">
        <f>('Price Data'!B134-'Price Data'!B133)/'Price Data'!B133</f>
        <v>-1.5206160444487898E-2</v>
      </c>
      <c r="C135" s="71">
        <f>('Price Data'!C134-'Price Data'!C133)/'Price Data'!C133</f>
        <v>1.113122054675591E-2</v>
      </c>
      <c r="D135" s="71">
        <f t="shared" ref="D135:D198" si="8">B135-$B$4</f>
        <v>-1.5206160444487898E-2</v>
      </c>
      <c r="E135" s="71">
        <f t="shared" ref="E135:E198" si="9">C135-$C$5</f>
        <v>1.113122054675591E-2</v>
      </c>
      <c r="F135" s="70">
        <f t="shared" ref="F135:F198" si="10">D135*E135</f>
        <v>-1.6926312557695068E-4</v>
      </c>
      <c r="G135" s="70">
        <f t="shared" ref="G135:G198" si="11">E135^2</f>
        <v>1.2390407086052094E-4</v>
      </c>
    </row>
    <row r="136" spans="1:7" x14ac:dyDescent="0.3">
      <c r="A136" s="72">
        <v>46098</v>
      </c>
      <c r="B136" s="71">
        <f>('Price Data'!B135-'Price Data'!B134)/'Price Data'!B134</f>
        <v>1.2867465109374129E-3</v>
      </c>
      <c r="C136" s="71">
        <f>('Price Data'!C135-'Price Data'!C134)/'Price Data'!C134</f>
        <v>7.3626157684290603E-3</v>
      </c>
      <c r="D136" s="71">
        <f t="shared" si="8"/>
        <v>1.2867465109374129E-3</v>
      </c>
      <c r="E136" s="71">
        <f t="shared" si="9"/>
        <v>7.3626157684290603E-3</v>
      </c>
      <c r="F136" s="70">
        <f t="shared" si="10"/>
        <v>9.4738201513988727E-6</v>
      </c>
      <c r="G136" s="70">
        <f t="shared" si="11"/>
        <v>5.4208110953520243E-5</v>
      </c>
    </row>
    <row r="137" spans="1:7" x14ac:dyDescent="0.3">
      <c r="A137" s="72">
        <v>46099</v>
      </c>
      <c r="B137" s="71">
        <f>('Price Data'!B136-'Price Data'!B135)/'Price Data'!B135</f>
        <v>6.5243179122182905E-3</v>
      </c>
      <c r="C137" s="71">
        <f>('Price Data'!C136-'Price Data'!C135)/'Price Data'!C135</f>
        <v>8.3392879482127799E-3</v>
      </c>
      <c r="D137" s="71">
        <f t="shared" si="8"/>
        <v>6.5243179122182905E-3</v>
      </c>
      <c r="E137" s="71">
        <f t="shared" si="9"/>
        <v>8.3392879482127799E-3</v>
      </c>
      <c r="F137" s="70">
        <f t="shared" si="10"/>
        <v>5.4408165735670757E-5</v>
      </c>
      <c r="G137" s="70">
        <f t="shared" si="11"/>
        <v>6.9543723483206918E-5</v>
      </c>
    </row>
    <row r="138" spans="1:7" x14ac:dyDescent="0.3">
      <c r="A138" s="72">
        <v>46100</v>
      </c>
      <c r="B138" s="71">
        <f>('Price Data'!B137-'Price Data'!B136)/'Price Data'!B136</f>
        <v>-6.2856020428207525E-3</v>
      </c>
      <c r="C138" s="71">
        <f>('Price Data'!C137-'Price Data'!C136)/'Price Data'!C136</f>
        <v>-3.2620763905828035E-2</v>
      </c>
      <c r="D138" s="71">
        <f t="shared" si="8"/>
        <v>-6.2856020428207525E-3</v>
      </c>
      <c r="E138" s="71">
        <f t="shared" si="9"/>
        <v>-3.2620763905828035E-2</v>
      </c>
      <c r="F138" s="70">
        <f t="shared" si="10"/>
        <v>2.0504114024484616E-4</v>
      </c>
      <c r="G138" s="70">
        <f t="shared" si="11"/>
        <v>1.064114237799773E-3</v>
      </c>
    </row>
    <row r="139" spans="1:7" x14ac:dyDescent="0.3">
      <c r="A139" s="72">
        <v>46101</v>
      </c>
      <c r="B139" s="71">
        <f>('Price Data'!B138-'Price Data'!B137)/'Price Data'!B137</f>
        <v>2.2731765170983082E-3</v>
      </c>
      <c r="C139" s="71">
        <f>('Price Data'!C138-'Price Data'!C137)/'Price Data'!C137</f>
        <v>4.8843260303927478E-3</v>
      </c>
      <c r="D139" s="71">
        <f t="shared" si="8"/>
        <v>2.2731765170983082E-3</v>
      </c>
      <c r="E139" s="71">
        <f t="shared" si="9"/>
        <v>4.8843260303927478E-3</v>
      </c>
      <c r="F139" s="70">
        <f t="shared" si="10"/>
        <v>1.1102935234140792E-5</v>
      </c>
      <c r="G139" s="70">
        <f t="shared" si="11"/>
        <v>2.3856640771172179E-5</v>
      </c>
    </row>
    <row r="140" spans="1:7" x14ac:dyDescent="0.3">
      <c r="A140" s="72">
        <v>46104</v>
      </c>
      <c r="B140" s="71">
        <f>('Price Data'!B139-'Price Data'!B138)/'Price Data'!B138</f>
        <v>-4.8022877428261557E-2</v>
      </c>
      <c r="C140" s="71">
        <f>('Price Data'!C139-'Price Data'!C138)/'Price Data'!C138</f>
        <v>-2.603776850029196E-2</v>
      </c>
      <c r="D140" s="71">
        <f t="shared" si="8"/>
        <v>-4.8022877428261557E-2</v>
      </c>
      <c r="E140" s="71">
        <f t="shared" si="9"/>
        <v>-2.603776850029196E-2</v>
      </c>
      <c r="F140" s="70">
        <f t="shared" si="10"/>
        <v>1.2504085651949706E-3</v>
      </c>
      <c r="G140" s="70">
        <f t="shared" si="11"/>
        <v>6.7796538847479627E-4</v>
      </c>
    </row>
    <row r="141" spans="1:7" x14ac:dyDescent="0.3">
      <c r="A141" s="72">
        <v>46105</v>
      </c>
      <c r="B141" s="71">
        <f>('Price Data'!B140-'Price Data'!B139)/'Price Data'!B139</f>
        <v>2.6931841723638107E-3</v>
      </c>
      <c r="C141" s="71">
        <f>('Price Data'!C140-'Price Data'!C139)/'Price Data'!C139</f>
        <v>1.7756683464629885E-2</v>
      </c>
      <c r="D141" s="71">
        <f t="shared" si="8"/>
        <v>2.6931841723638107E-3</v>
      </c>
      <c r="E141" s="71">
        <f t="shared" si="9"/>
        <v>1.7756683464629885E-2</v>
      </c>
      <c r="F141" s="70">
        <f t="shared" si="10"/>
        <v>4.7822018860615398E-5</v>
      </c>
      <c r="G141" s="70">
        <f t="shared" si="11"/>
        <v>3.1529980766306041E-4</v>
      </c>
    </row>
    <row r="142" spans="1:7" x14ac:dyDescent="0.3">
      <c r="A142" s="72">
        <v>46106</v>
      </c>
      <c r="B142" s="71">
        <f>('Price Data'!B141-'Price Data'!B140)/'Price Data'!B140</f>
        <v>2.1280991735537214E-2</v>
      </c>
      <c r="C142" s="71">
        <f>('Price Data'!C141-'Price Data'!C140)/'Price Data'!C140</f>
        <v>1.7198111066496713E-2</v>
      </c>
      <c r="D142" s="71">
        <f t="shared" si="8"/>
        <v>2.1280991735537214E-2</v>
      </c>
      <c r="E142" s="71">
        <f t="shared" si="9"/>
        <v>1.7198111066496713E-2</v>
      </c>
      <c r="F142" s="70">
        <f t="shared" si="10"/>
        <v>3.6599285947296766E-4</v>
      </c>
      <c r="G142" s="70">
        <f t="shared" si="11"/>
        <v>2.9577502425555673E-4</v>
      </c>
    </row>
    <row r="143" spans="1:7" x14ac:dyDescent="0.3">
      <c r="A143" s="72">
        <v>46108</v>
      </c>
      <c r="B143" s="71">
        <f>('Price Data'!B142-'Price Data'!B141)/'Price Data'!B141</f>
        <v>-1.9219097713938902E-2</v>
      </c>
      <c r="C143" s="71">
        <f>('Price Data'!C142-'Price Data'!C141)/'Price Data'!C141</f>
        <v>-2.0889067189554914E-2</v>
      </c>
      <c r="D143" s="71">
        <f t="shared" si="8"/>
        <v>-1.9219097713938902E-2</v>
      </c>
      <c r="E143" s="71">
        <f t="shared" si="9"/>
        <v>-2.0889067189554914E-2</v>
      </c>
      <c r="F143" s="70">
        <f t="shared" si="10"/>
        <v>4.0146902346909098E-4</v>
      </c>
      <c r="G143" s="70">
        <f t="shared" si="11"/>
        <v>4.3635312804973965E-4</v>
      </c>
    </row>
    <row r="144" spans="1:7" x14ac:dyDescent="0.3">
      <c r="A144" s="72">
        <v>46111</v>
      </c>
      <c r="B144" s="71">
        <f>('Price Data'!B143-'Price Data'!B142)/'Price Data'!B142</f>
        <v>-2.7227722772277203E-2</v>
      </c>
      <c r="C144" s="71">
        <f>('Price Data'!C143-'Price Data'!C142)/'Price Data'!C142</f>
        <v>-2.1393889463443581E-2</v>
      </c>
      <c r="D144" s="71">
        <f t="shared" si="8"/>
        <v>-2.7227722772277203E-2</v>
      </c>
      <c r="E144" s="71">
        <f t="shared" si="9"/>
        <v>-2.1393889463443581E-2</v>
      </c>
      <c r="F144" s="70">
        <f t="shared" si="10"/>
        <v>5.8250689133138413E-4</v>
      </c>
      <c r="G144" s="70">
        <f t="shared" si="11"/>
        <v>4.5769850637404229E-4</v>
      </c>
    </row>
    <row r="145" spans="1:7" x14ac:dyDescent="0.3">
      <c r="A145" s="72">
        <v>46113</v>
      </c>
      <c r="B145" s="71">
        <f>('Price Data'!B144-'Price Data'!B143)/'Price Data'!B143</f>
        <v>2.661153519932136E-2</v>
      </c>
      <c r="C145" s="71">
        <f>('Price Data'!C144-'Price Data'!C143)/'Price Data'!C143</f>
        <v>1.5583438566323651E-2</v>
      </c>
      <c r="D145" s="71">
        <f t="shared" si="8"/>
        <v>2.661153519932136E-2</v>
      </c>
      <c r="E145" s="71">
        <f t="shared" si="9"/>
        <v>1.5583438566323651E-2</v>
      </c>
      <c r="F145" s="70">
        <f t="shared" si="10"/>
        <v>4.1469922393418384E-4</v>
      </c>
      <c r="G145" s="70">
        <f t="shared" si="11"/>
        <v>2.4284355755038332E-4</v>
      </c>
    </row>
    <row r="146" spans="1:7" x14ac:dyDescent="0.3">
      <c r="A146" s="72">
        <v>46114</v>
      </c>
      <c r="B146" s="71">
        <f>('Price Data'!B145-'Price Data'!B144)/'Price Data'!B144</f>
        <v>1.4355055251471746E-2</v>
      </c>
      <c r="C146" s="71">
        <f>('Price Data'!C145-'Price Data'!C144)/'Price Data'!C144</f>
        <v>1.485929962873669E-3</v>
      </c>
      <c r="D146" s="71">
        <f t="shared" si="8"/>
        <v>1.4355055251471746E-2</v>
      </c>
      <c r="E146" s="71">
        <f t="shared" si="9"/>
        <v>1.485929962873669E-3</v>
      </c>
      <c r="F146" s="70">
        <f t="shared" si="10"/>
        <v>2.1330606716868881E-5</v>
      </c>
      <c r="G146" s="70">
        <f t="shared" si="11"/>
        <v>2.2079878545657435E-6</v>
      </c>
    </row>
    <row r="147" spans="1:7" x14ac:dyDescent="0.3">
      <c r="A147" s="72">
        <v>46118</v>
      </c>
      <c r="B147" s="71">
        <f>('Price Data'!B146-'Price Data'!B145)/'Price Data'!B145</f>
        <v>1.140297291793925E-2</v>
      </c>
      <c r="C147" s="71">
        <f>('Price Data'!C146-'Price Data'!C145)/'Price Data'!C145</f>
        <v>1.1233605276250334E-2</v>
      </c>
      <c r="D147" s="71">
        <f t="shared" si="8"/>
        <v>1.140297291793925E-2</v>
      </c>
      <c r="E147" s="71">
        <f t="shared" si="9"/>
        <v>1.1233605276250334E-2</v>
      </c>
      <c r="F147" s="70">
        <f t="shared" si="10"/>
        <v>1.2809649673590202E-4</v>
      </c>
      <c r="G147" s="70">
        <f t="shared" si="11"/>
        <v>1.2619388750259935E-4</v>
      </c>
    </row>
    <row r="148" spans="1:7" x14ac:dyDescent="0.3">
      <c r="A148" s="72">
        <v>46119</v>
      </c>
      <c r="B148" s="71">
        <f>('Price Data'!B147-'Price Data'!B146)/'Price Data'!B146</f>
        <v>-1.7918260519428179E-2</v>
      </c>
      <c r="C148" s="71">
        <f>('Price Data'!C147-'Price Data'!C146)/'Price Data'!C146</f>
        <v>6.7658615697757316E-3</v>
      </c>
      <c r="D148" s="71">
        <f t="shared" si="8"/>
        <v>-1.7918260519428179E-2</v>
      </c>
      <c r="E148" s="71">
        <f t="shared" si="9"/>
        <v>6.7658615697757316E-3</v>
      </c>
      <c r="F148" s="70">
        <f t="shared" si="10"/>
        <v>-1.2123247024562886E-4</v>
      </c>
      <c r="G148" s="70">
        <f t="shared" si="11"/>
        <v>4.5776882781368124E-5</v>
      </c>
    </row>
    <row r="149" spans="1:7" x14ac:dyDescent="0.3">
      <c r="A149" s="72">
        <v>46120</v>
      </c>
      <c r="B149" s="71">
        <f>('Price Data'!B148-'Price Data'!B147)/'Price Data'!B147</f>
        <v>2.9212792127921279E-2</v>
      </c>
      <c r="C149" s="71">
        <f>('Price Data'!C148-'Price Data'!C147)/'Price Data'!C147</f>
        <v>3.7783827380192876E-2</v>
      </c>
      <c r="D149" s="71">
        <f t="shared" si="8"/>
        <v>2.9212792127921279E-2</v>
      </c>
      <c r="E149" s="71">
        <f t="shared" si="9"/>
        <v>3.7783827380192876E-2</v>
      </c>
      <c r="F149" s="70">
        <f t="shared" si="10"/>
        <v>1.103771095054835E-3</v>
      </c>
      <c r="G149" s="70">
        <f t="shared" si="11"/>
        <v>1.4276176114962128E-3</v>
      </c>
    </row>
    <row r="150" spans="1:7" x14ac:dyDescent="0.3">
      <c r="A150" s="72">
        <v>46121</v>
      </c>
      <c r="B150" s="71">
        <f>('Price Data'!B149-'Price Data'!B148)/'Price Data'!B148</f>
        <v>-2.5694651927098962E-2</v>
      </c>
      <c r="C150" s="71">
        <f>('Price Data'!C149-'Price Data'!C148)/'Price Data'!C148</f>
        <v>-9.2614392839209334E-3</v>
      </c>
      <c r="D150" s="71">
        <f t="shared" si="8"/>
        <v>-2.5694651927098962E-2</v>
      </c>
      <c r="E150" s="71">
        <f t="shared" si="9"/>
        <v>-9.2614392839209334E-3</v>
      </c>
      <c r="F150" s="70">
        <f t="shared" si="10"/>
        <v>2.3796945874430904E-4</v>
      </c>
      <c r="G150" s="70">
        <f t="shared" si="11"/>
        <v>8.5774257609753891E-5</v>
      </c>
    </row>
    <row r="151" spans="1:7" x14ac:dyDescent="0.3">
      <c r="A151" s="72">
        <v>46122</v>
      </c>
      <c r="B151" s="71">
        <f>('Price Data'!B150-'Price Data'!B149)/'Price Data'!B149</f>
        <v>-6.133088009812012E-4</v>
      </c>
      <c r="C151" s="71">
        <f>('Price Data'!C150-'Price Data'!C149)/'Price Data'!C149</f>
        <v>1.1587753574117459E-2</v>
      </c>
      <c r="D151" s="71">
        <f t="shared" si="8"/>
        <v>-6.133088009812012E-4</v>
      </c>
      <c r="E151" s="71">
        <f t="shared" si="9"/>
        <v>1.1587753574117459E-2</v>
      </c>
      <c r="F151" s="70">
        <f t="shared" si="10"/>
        <v>-7.1068712506076074E-6</v>
      </c>
      <c r="G151" s="70">
        <f t="shared" si="11"/>
        <v>1.3427603289447196E-4</v>
      </c>
    </row>
    <row r="152" spans="1:7" x14ac:dyDescent="0.3">
      <c r="A152" s="72">
        <v>46125</v>
      </c>
      <c r="B152" s="71">
        <f>('Price Data'!B151-'Price Data'!B150)/'Price Data'!B150</f>
        <v>4.2446558248951619E-2</v>
      </c>
      <c r="C152" s="71">
        <f>('Price Data'!C151-'Price Data'!C150)/'Price Data'!C150</f>
        <v>-8.6463539371157937E-3</v>
      </c>
      <c r="D152" s="71">
        <f t="shared" si="8"/>
        <v>4.2446558248951619E-2</v>
      </c>
      <c r="E152" s="71">
        <f t="shared" si="9"/>
        <v>-8.6463539371157937E-3</v>
      </c>
      <c r="F152" s="70">
        <f t="shared" si="10"/>
        <v>-3.6700796603283769E-4</v>
      </c>
      <c r="G152" s="70">
        <f t="shared" si="11"/>
        <v>7.4759436405877791E-5</v>
      </c>
    </row>
    <row r="153" spans="1:7" x14ac:dyDescent="0.3">
      <c r="A153" s="72">
        <v>46127</v>
      </c>
      <c r="B153" s="71">
        <f>('Price Data'!B152-'Price Data'!B151)/'Price Data'!B151</f>
        <v>3.6499215070643687E-2</v>
      </c>
      <c r="C153" s="71">
        <f>('Price Data'!C152-'Price Data'!C151)/'Price Data'!C151</f>
        <v>1.6300620946077631E-2</v>
      </c>
      <c r="D153" s="71">
        <f t="shared" si="8"/>
        <v>3.6499215070643687E-2</v>
      </c>
      <c r="E153" s="71">
        <f t="shared" si="9"/>
        <v>1.6300620946077631E-2</v>
      </c>
      <c r="F153" s="70">
        <f t="shared" si="10"/>
        <v>5.9495986969592687E-4</v>
      </c>
      <c r="G153" s="70">
        <f t="shared" si="11"/>
        <v>2.657102432277048E-4</v>
      </c>
    </row>
    <row r="154" spans="1:7" x14ac:dyDescent="0.3">
      <c r="A154" s="72">
        <v>46128</v>
      </c>
      <c r="B154" s="71">
        <f>('Price Data'!B153-'Price Data'!B152)/'Price Data'!B152</f>
        <v>1.4672472548277166E-2</v>
      </c>
      <c r="C154" s="71">
        <f>('Price Data'!C153-'Price Data'!C152)/'Price Data'!C152</f>
        <v>-1.4258417831482123E-3</v>
      </c>
      <c r="D154" s="71">
        <f t="shared" si="8"/>
        <v>1.4672472548277166E-2</v>
      </c>
      <c r="E154" s="71">
        <f t="shared" si="9"/>
        <v>-1.4258417831482123E-3</v>
      </c>
      <c r="F154" s="70">
        <f t="shared" si="10"/>
        <v>-2.0920624421428707E-5</v>
      </c>
      <c r="G154" s="70">
        <f t="shared" si="11"/>
        <v>2.0330247905712735E-6</v>
      </c>
    </row>
    <row r="155" spans="1:7" x14ac:dyDescent="0.3">
      <c r="A155" s="72">
        <v>46129</v>
      </c>
      <c r="B155" s="71">
        <f>('Price Data'!B154-'Price Data'!B153)/'Price Data'!B153</f>
        <v>3.9182759585780552E-3</v>
      </c>
      <c r="C155" s="71">
        <f>('Price Data'!C154-'Price Data'!C153)/'Price Data'!C153</f>
        <v>6.4802091189932231E-3</v>
      </c>
      <c r="D155" s="71">
        <f t="shared" si="8"/>
        <v>3.9182759585780552E-3</v>
      </c>
      <c r="E155" s="71">
        <f t="shared" si="9"/>
        <v>6.4802091189932231E-3</v>
      </c>
      <c r="F155" s="70">
        <f t="shared" si="10"/>
        <v>2.5391247597509425E-5</v>
      </c>
      <c r="G155" s="70">
        <f t="shared" si="11"/>
        <v>4.1993110225882921E-5</v>
      </c>
    </row>
    <row r="156" spans="1:7" x14ac:dyDescent="0.3">
      <c r="A156" s="72">
        <v>46132</v>
      </c>
      <c r="B156" s="71">
        <f>('Price Data'!B155-'Price Data'!B154)/'Price Data'!B154</f>
        <v>9.2928166527274422E-3</v>
      </c>
      <c r="C156" s="71">
        <f>('Price Data'!C155-'Price Data'!C154)/'Price Data'!C154</f>
        <v>4.639980618841718E-4</v>
      </c>
      <c r="D156" s="71">
        <f t="shared" si="8"/>
        <v>9.2928166527274422E-3</v>
      </c>
      <c r="E156" s="71">
        <f t="shared" si="9"/>
        <v>4.639980618841718E-4</v>
      </c>
      <c r="F156" s="70">
        <f t="shared" si="10"/>
        <v>4.31184891631049E-6</v>
      </c>
      <c r="G156" s="70">
        <f t="shared" si="11"/>
        <v>2.1529420143226774E-7</v>
      </c>
    </row>
    <row r="157" spans="1:7" x14ac:dyDescent="0.3">
      <c r="A157" s="72">
        <v>46133</v>
      </c>
      <c r="B157" s="71">
        <f>('Price Data'!B156-'Price Data'!B155)/'Price Data'!B155</f>
        <v>6.629223828376803E-3</v>
      </c>
      <c r="C157" s="71">
        <f>('Price Data'!C156-'Price Data'!C155)/'Price Data'!C155</f>
        <v>8.6907984247799608E-3</v>
      </c>
      <c r="D157" s="71">
        <f t="shared" si="8"/>
        <v>6.629223828376803E-3</v>
      </c>
      <c r="E157" s="71">
        <f t="shared" si="9"/>
        <v>8.6907984247799608E-3</v>
      </c>
      <c r="F157" s="70">
        <f t="shared" si="10"/>
        <v>5.7613248005170903E-5</v>
      </c>
      <c r="G157" s="70">
        <f t="shared" si="11"/>
        <v>7.5529977260157849E-5</v>
      </c>
    </row>
    <row r="158" spans="1:7" x14ac:dyDescent="0.3">
      <c r="A158" s="72">
        <v>46134</v>
      </c>
      <c r="B158" s="71">
        <f>('Price Data'!B157-'Price Data'!B156)/'Price Data'!B156</f>
        <v>2.542760450013716E-2</v>
      </c>
      <c r="C158" s="71">
        <f>('Price Data'!C157-'Price Data'!C156)/'Price Data'!C156</f>
        <v>-8.0767884898643432E-3</v>
      </c>
      <c r="D158" s="71">
        <f t="shared" si="8"/>
        <v>2.542760450013716E-2</v>
      </c>
      <c r="E158" s="71">
        <f t="shared" si="9"/>
        <v>-8.0767884898643432E-3</v>
      </c>
      <c r="F158" s="70">
        <f t="shared" si="10"/>
        <v>-2.053733833515306E-4</v>
      </c>
      <c r="G158" s="70">
        <f t="shared" si="11"/>
        <v>6.5234512310005134E-5</v>
      </c>
    </row>
    <row r="159" spans="1:7" x14ac:dyDescent="0.3">
      <c r="A159" s="72">
        <v>46135</v>
      </c>
      <c r="B159" s="71">
        <f>('Price Data'!B158-'Price Data'!B157)/'Price Data'!B157</f>
        <v>1.516367853001557E-3</v>
      </c>
      <c r="C159" s="71">
        <f>('Price Data'!C158-'Price Data'!C157)/'Price Data'!C157</f>
        <v>-8.4112379553779541E-3</v>
      </c>
      <c r="D159" s="71">
        <f t="shared" si="8"/>
        <v>1.516367853001557E-3</v>
      </c>
      <c r="E159" s="71">
        <f t="shared" si="9"/>
        <v>-8.4112379553779541E-3</v>
      </c>
      <c r="F159" s="70">
        <f t="shared" si="10"/>
        <v>-1.2754530839481674E-5</v>
      </c>
      <c r="G159" s="70">
        <f t="shared" si="11"/>
        <v>7.07489239419907E-5</v>
      </c>
    </row>
    <row r="160" spans="1:7" x14ac:dyDescent="0.3">
      <c r="A160" s="72">
        <v>46136</v>
      </c>
      <c r="B160" s="71">
        <f>('Price Data'!B159-'Price Data'!B158)/'Price Data'!B158</f>
        <v>-2.9301745635910103E-2</v>
      </c>
      <c r="C160" s="71">
        <f>('Price Data'!C159-'Price Data'!C158)/'Price Data'!C158</f>
        <v>-1.1380442269386715E-2</v>
      </c>
      <c r="D160" s="71">
        <f t="shared" si="8"/>
        <v>-2.9301745635910103E-2</v>
      </c>
      <c r="E160" s="71">
        <f t="shared" si="9"/>
        <v>-1.1380442269386715E-2</v>
      </c>
      <c r="F160" s="70">
        <f t="shared" si="10"/>
        <v>3.3346682460172906E-4</v>
      </c>
      <c r="G160" s="70">
        <f t="shared" si="11"/>
        <v>1.2951446624684385E-4</v>
      </c>
    </row>
    <row r="161" spans="1:7" x14ac:dyDescent="0.3">
      <c r="A161" s="72">
        <v>46139</v>
      </c>
      <c r="B161" s="71">
        <f>('Price Data'!B160-'Price Data'!B159)/'Price Data'!B159</f>
        <v>5.2940636755665488E-2</v>
      </c>
      <c r="C161" s="71">
        <f>('Price Data'!C160-'Price Data'!C159)/'Price Data'!C159</f>
        <v>8.1492345577758758E-3</v>
      </c>
      <c r="D161" s="71">
        <f t="shared" si="8"/>
        <v>5.2940636755665488E-2</v>
      </c>
      <c r="E161" s="71">
        <f t="shared" si="9"/>
        <v>8.1492345577758758E-3</v>
      </c>
      <c r="F161" s="70">
        <f t="shared" si="10"/>
        <v>4.3142566655992893E-4</v>
      </c>
      <c r="G161" s="70">
        <f t="shared" si="11"/>
        <v>6.6410023877648579E-5</v>
      </c>
    </row>
    <row r="162" spans="1:7" x14ac:dyDescent="0.3">
      <c r="A162" s="72">
        <v>46140</v>
      </c>
      <c r="B162" s="71">
        <f>('Price Data'!B161-'Price Data'!B160)/'Price Data'!B160</f>
        <v>1.2373649355176061E-2</v>
      </c>
      <c r="C162" s="71">
        <f>('Price Data'!C161-'Price Data'!C160)/'Price Data'!C160</f>
        <v>-4.0261157944107553E-3</v>
      </c>
      <c r="D162" s="71">
        <f t="shared" si="8"/>
        <v>1.2373649355176061E-2</v>
      </c>
      <c r="E162" s="71">
        <f t="shared" si="9"/>
        <v>-4.0261157944107553E-3</v>
      </c>
      <c r="F162" s="70">
        <f t="shared" si="10"/>
        <v>-4.9817745103374793E-5</v>
      </c>
      <c r="G162" s="70">
        <f t="shared" si="11"/>
        <v>1.6209608390003747E-5</v>
      </c>
    </row>
    <row r="163" spans="1:7" x14ac:dyDescent="0.3">
      <c r="A163" s="72">
        <v>46141</v>
      </c>
      <c r="B163" s="71">
        <f>('Price Data'!B162-'Price Data'!B161)/'Price Data'!B161</f>
        <v>-3.5290067137200898E-2</v>
      </c>
      <c r="C163" s="71">
        <f>('Price Data'!C162-'Price Data'!C161)/'Price Data'!C161</f>
        <v>7.5826085506986969E-3</v>
      </c>
      <c r="D163" s="71">
        <f t="shared" si="8"/>
        <v>-3.5290067137200898E-2</v>
      </c>
      <c r="E163" s="71">
        <f t="shared" si="9"/>
        <v>7.5826085506986969E-3</v>
      </c>
      <c r="F163" s="70">
        <f t="shared" si="10"/>
        <v>-2.6759076482927061E-4</v>
      </c>
      <c r="G163" s="70">
        <f t="shared" si="11"/>
        <v>5.7495952433128992E-5</v>
      </c>
    </row>
    <row r="164" spans="1:7" x14ac:dyDescent="0.3">
      <c r="A164" s="72">
        <v>46142</v>
      </c>
      <c r="B164" s="71">
        <f>('Price Data'!B163-'Price Data'!B162)/'Price Data'!B162</f>
        <v>1.3383297644539616E-3</v>
      </c>
      <c r="C164" s="71">
        <f>('Price Data'!C163-'Price Data'!C162)/'Price Data'!C162</f>
        <v>-7.4490283381553699E-3</v>
      </c>
      <c r="D164" s="71">
        <f t="shared" si="8"/>
        <v>1.3383297644539616E-3</v>
      </c>
      <c r="E164" s="71">
        <f t="shared" si="9"/>
        <v>-7.4490283381553699E-3</v>
      </c>
      <c r="F164" s="70">
        <f t="shared" si="10"/>
        <v>-9.9692563412143607E-6</v>
      </c>
      <c r="G164" s="70">
        <f t="shared" si="11"/>
        <v>5.5488023182641755E-5</v>
      </c>
    </row>
    <row r="165" spans="1:7" x14ac:dyDescent="0.3">
      <c r="A165" s="72">
        <v>46146</v>
      </c>
      <c r="B165" s="71">
        <f>('Price Data'!B164-'Price Data'!B163)/'Price Data'!B163</f>
        <v>2.0493629154414634E-3</v>
      </c>
      <c r="C165" s="71">
        <f>('Price Data'!C164-'Price Data'!C163)/'Price Data'!C163</f>
        <v>5.0734345797800191E-3</v>
      </c>
      <c r="D165" s="71">
        <f t="shared" si="8"/>
        <v>2.0493629154414634E-3</v>
      </c>
      <c r="E165" s="71">
        <f t="shared" si="9"/>
        <v>5.0734345797800191E-3</v>
      </c>
      <c r="F165" s="70">
        <f t="shared" si="10"/>
        <v>1.0397308681719516E-5</v>
      </c>
      <c r="G165" s="70">
        <f t="shared" si="11"/>
        <v>2.5739738435307658E-5</v>
      </c>
    </row>
    <row r="166" spans="1:7" x14ac:dyDescent="0.3">
      <c r="A166" s="72">
        <v>46147</v>
      </c>
      <c r="B166" s="71">
        <f>('Price Data'!B165-'Price Data'!B164)/'Price Data'!B164</f>
        <v>-6.2244353547911979E-4</v>
      </c>
      <c r="C166" s="71">
        <f>('Price Data'!C165-'Price Data'!C164)/'Price Data'!C164</f>
        <v>-3.5863395703855418E-3</v>
      </c>
      <c r="D166" s="71">
        <f t="shared" si="8"/>
        <v>-6.2244353547911979E-4</v>
      </c>
      <c r="E166" s="71">
        <f t="shared" si="9"/>
        <v>-3.5863395703855418E-3</v>
      </c>
      <c r="F166" s="70">
        <f t="shared" si="10"/>
        <v>2.232293881619444E-6</v>
      </c>
      <c r="G166" s="70">
        <f t="shared" si="11"/>
        <v>1.2861831514113152E-5</v>
      </c>
    </row>
    <row r="167" spans="1:7" x14ac:dyDescent="0.3">
      <c r="A167" s="72">
        <v>46148</v>
      </c>
      <c r="B167" s="71">
        <f>('Price Data'!B166-'Price Data'!B165)/'Price Data'!B165</f>
        <v>1.0588130616602779E-2</v>
      </c>
      <c r="C167" s="71">
        <f>('Price Data'!C166-'Price Data'!C165)/'Price Data'!C165</f>
        <v>1.2405961852135475E-2</v>
      </c>
      <c r="D167" s="71">
        <f t="shared" si="8"/>
        <v>1.0588130616602779E-2</v>
      </c>
      <c r="E167" s="71">
        <f t="shared" si="9"/>
        <v>1.2405961852135475E-2</v>
      </c>
      <c r="F167" s="70">
        <f t="shared" si="10"/>
        <v>1.3135594451500174E-4</v>
      </c>
      <c r="G167" s="70">
        <f t="shared" si="11"/>
        <v>1.5390788947664067E-4</v>
      </c>
    </row>
    <row r="168" spans="1:7" x14ac:dyDescent="0.3">
      <c r="A168" s="72">
        <v>46149</v>
      </c>
      <c r="B168" s="71">
        <f>('Price Data'!B167-'Price Data'!B166)/'Price Data'!B166</f>
        <v>1.408698714562423E-2</v>
      </c>
      <c r="C168" s="71">
        <f>('Price Data'!C167-'Price Data'!C166)/'Price Data'!C166</f>
        <v>-1.7672963858785917E-4</v>
      </c>
      <c r="D168" s="71">
        <f t="shared" si="8"/>
        <v>1.408698714562423E-2</v>
      </c>
      <c r="E168" s="71">
        <f t="shared" si="9"/>
        <v>-1.7672963858785917E-4</v>
      </c>
      <c r="F168" s="70">
        <f t="shared" si="10"/>
        <v>-2.4895881470379879E-6</v>
      </c>
      <c r="G168" s="70">
        <f t="shared" si="11"/>
        <v>3.1233365155395321E-8</v>
      </c>
    </row>
    <row r="169" spans="1:7" x14ac:dyDescent="0.3">
      <c r="A169" s="72">
        <v>46150</v>
      </c>
      <c r="B169" s="71">
        <f>('Price Data'!B168-'Price Data'!B167)/'Price Data'!B167</f>
        <v>-8.1611390866468698E-3</v>
      </c>
      <c r="C169" s="71">
        <f>('Price Data'!C168-'Price Data'!C167)/'Price Data'!C167</f>
        <v>-6.186630711585853E-3</v>
      </c>
      <c r="D169" s="71">
        <f t="shared" si="8"/>
        <v>-8.1611390866468698E-3</v>
      </c>
      <c r="E169" s="71">
        <f t="shared" si="9"/>
        <v>-6.186630711585853E-3</v>
      </c>
      <c r="F169" s="70">
        <f t="shared" si="10"/>
        <v>5.0489953714973244E-5</v>
      </c>
      <c r="G169" s="70">
        <f t="shared" si="11"/>
        <v>3.8274399561537278E-5</v>
      </c>
    </row>
    <row r="170" spans="1:7" x14ac:dyDescent="0.3">
      <c r="A170" s="72">
        <v>46153</v>
      </c>
      <c r="B170" s="71">
        <f>('Price Data'!B169-'Price Data'!B168)/'Price Data'!B168</f>
        <v>-2.547268907563037E-2</v>
      </c>
      <c r="C170" s="71">
        <f>('Price Data'!C169-'Price Data'!C168)/'Price Data'!C168</f>
        <v>-1.490311732844158E-2</v>
      </c>
      <c r="D170" s="71">
        <f t="shared" si="8"/>
        <v>-2.547268907563037E-2</v>
      </c>
      <c r="E170" s="71">
        <f t="shared" si="9"/>
        <v>-1.490311732844158E-2</v>
      </c>
      <c r="F170" s="70">
        <f t="shared" si="10"/>
        <v>3.7962247396503148E-4</v>
      </c>
      <c r="G170" s="70">
        <f t="shared" si="11"/>
        <v>2.221029061052957E-4</v>
      </c>
    </row>
    <row r="171" spans="1:7" x14ac:dyDescent="0.3">
      <c r="A171" s="72">
        <v>46154</v>
      </c>
      <c r="B171" s="71">
        <f>('Price Data'!B170-'Price Data'!B169)/'Price Data'!B169</f>
        <v>-6.9523039611964307E-2</v>
      </c>
      <c r="C171" s="71">
        <f>('Price Data'!C170-'Price Data'!C169)/'Price Data'!C169</f>
        <v>-1.8319732447088777E-2</v>
      </c>
      <c r="D171" s="71">
        <f t="shared" si="8"/>
        <v>-6.9523039611964307E-2</v>
      </c>
      <c r="E171" s="71">
        <f t="shared" si="9"/>
        <v>-1.8319732447088777E-2</v>
      </c>
      <c r="F171" s="70">
        <f t="shared" si="10"/>
        <v>1.2736434845995409E-3</v>
      </c>
      <c r="G171" s="70">
        <f t="shared" si="11"/>
        <v>3.3561259693291737E-4</v>
      </c>
    </row>
    <row r="172" spans="1:7" x14ac:dyDescent="0.3">
      <c r="A172" s="72">
        <v>46155</v>
      </c>
      <c r="B172" s="71">
        <f>('Price Data'!B171-'Price Data'!B170)/'Price Data'!B170</f>
        <v>-1.68935225407859E-2</v>
      </c>
      <c r="C172" s="71">
        <f>('Price Data'!C171-'Price Data'!C170)/'Price Data'!C170</f>
        <v>1.4136285771111624E-3</v>
      </c>
      <c r="D172" s="71">
        <f t="shared" si="8"/>
        <v>-1.68935225407859E-2</v>
      </c>
      <c r="E172" s="71">
        <f t="shared" si="9"/>
        <v>1.4136285771111624E-3</v>
      </c>
      <c r="F172" s="70">
        <f t="shared" si="10"/>
        <v>-2.3881166231726518E-5</v>
      </c>
      <c r="G172" s="70">
        <f t="shared" si="11"/>
        <v>1.9983457540253294E-6</v>
      </c>
    </row>
    <row r="173" spans="1:7" x14ac:dyDescent="0.3">
      <c r="A173" s="72">
        <v>46156</v>
      </c>
      <c r="B173" s="71">
        <f>('Price Data'!B172-'Price Data'!B171)/'Price Data'!B171</f>
        <v>7.069913589944945E-3</v>
      </c>
      <c r="C173" s="71">
        <f>('Price Data'!C172-'Price Data'!C171)/'Price Data'!C171</f>
        <v>1.1831236171975774E-2</v>
      </c>
      <c r="D173" s="71">
        <f t="shared" si="8"/>
        <v>7.069913589944945E-3</v>
      </c>
      <c r="E173" s="71">
        <f t="shared" si="9"/>
        <v>1.1831236171975774E-2</v>
      </c>
      <c r="F173" s="70">
        <f t="shared" si="10"/>
        <v>8.364581739809973E-5</v>
      </c>
      <c r="G173" s="70">
        <f t="shared" si="11"/>
        <v>1.3997814935706797E-4</v>
      </c>
    </row>
    <row r="174" spans="1:7" x14ac:dyDescent="0.3">
      <c r="A174" s="72">
        <v>46157</v>
      </c>
      <c r="B174" s="71">
        <f>('Price Data'!B173-'Price Data'!B172)/'Price Data'!B172</f>
        <v>4.3876755070202814E-3</v>
      </c>
      <c r="C174" s="71">
        <f>('Price Data'!C173-'Price Data'!C172)/'Price Data'!C172</f>
        <v>-1.9460016209644126E-3</v>
      </c>
      <c r="D174" s="71">
        <f t="shared" si="8"/>
        <v>4.3876755070202814E-3</v>
      </c>
      <c r="E174" s="71">
        <f t="shared" si="9"/>
        <v>-1.9460016209644126E-3</v>
      </c>
      <c r="F174" s="70">
        <f t="shared" si="10"/>
        <v>-8.5384236489273186E-6</v>
      </c>
      <c r="G174" s="70">
        <f t="shared" si="11"/>
        <v>3.7869223087961213E-6</v>
      </c>
    </row>
    <row r="175" spans="1:7" x14ac:dyDescent="0.3">
      <c r="A175" s="72">
        <v>46160</v>
      </c>
      <c r="B175" s="71">
        <f>('Price Data'!B174-'Price Data'!B173)/'Price Data'!B173</f>
        <v>2.7181827007086694E-2</v>
      </c>
      <c r="C175" s="71">
        <f>('Price Data'!C174-'Price Data'!C173)/'Price Data'!C173</f>
        <v>2.7280225008990749E-4</v>
      </c>
      <c r="D175" s="71">
        <f t="shared" si="8"/>
        <v>2.7181827007086694E-2</v>
      </c>
      <c r="E175" s="71">
        <f t="shared" si="9"/>
        <v>2.7280225008990749E-4</v>
      </c>
      <c r="F175" s="70">
        <f t="shared" si="10"/>
        <v>7.4152635690878664E-6</v>
      </c>
      <c r="G175" s="70">
        <f t="shared" si="11"/>
        <v>7.4421067654116436E-8</v>
      </c>
    </row>
    <row r="176" spans="1:7" x14ac:dyDescent="0.3">
      <c r="A176" s="72">
        <v>46161</v>
      </c>
      <c r="B176" s="71">
        <f>('Price Data'!B175-'Price Data'!B174)/'Price Data'!B174</f>
        <v>7.7497401001796109E-3</v>
      </c>
      <c r="C176" s="71">
        <f>('Price Data'!C175-'Price Data'!C174)/'Price Data'!C174</f>
        <v>-1.3509542303472408E-3</v>
      </c>
      <c r="D176" s="71">
        <f t="shared" si="8"/>
        <v>7.7497401001796109E-3</v>
      </c>
      <c r="E176" s="71">
        <f t="shared" si="9"/>
        <v>-1.3509542303472408E-3</v>
      </c>
      <c r="F176" s="70">
        <f t="shared" si="10"/>
        <v>-1.0469544172429295E-5</v>
      </c>
      <c r="G176" s="70">
        <f t="shared" si="11"/>
        <v>1.8250773324931056E-6</v>
      </c>
    </row>
    <row r="177" spans="1:7" x14ac:dyDescent="0.3">
      <c r="A177" s="72">
        <v>46162</v>
      </c>
      <c r="B177" s="71">
        <f>('Price Data'!B176-'Price Data'!B175)/'Price Data'!B175</f>
        <v>7.4087967738911105E-3</v>
      </c>
      <c r="C177" s="71">
        <f>('Price Data'!C176-'Price Data'!C175)/'Price Data'!C175</f>
        <v>1.7359640951816412E-3</v>
      </c>
      <c r="D177" s="71">
        <f t="shared" si="8"/>
        <v>7.4087967738911105E-3</v>
      </c>
      <c r="E177" s="71">
        <f t="shared" si="9"/>
        <v>1.7359640951816412E-3</v>
      </c>
      <c r="F177" s="70">
        <f t="shared" si="10"/>
        <v>1.2861405187972544E-5</v>
      </c>
      <c r="G177" s="70">
        <f t="shared" si="11"/>
        <v>3.0135713397598141E-6</v>
      </c>
    </row>
    <row r="178" spans="1:7" x14ac:dyDescent="0.3">
      <c r="A178" s="72">
        <v>46163</v>
      </c>
      <c r="B178" s="71">
        <f>('Price Data'!B177-'Price Data'!B176)/'Price Data'!B176</f>
        <v>2.1132005213181943E-2</v>
      </c>
      <c r="C178" s="71">
        <f>('Price Data'!C177-'Price Data'!C176)/'Price Data'!C176</f>
        <v>-1.817490172872595E-4</v>
      </c>
      <c r="D178" s="71">
        <f t="shared" si="8"/>
        <v>2.1132005213181943E-2</v>
      </c>
      <c r="E178" s="71">
        <f t="shared" si="9"/>
        <v>-1.817490172872595E-4</v>
      </c>
      <c r="F178" s="70">
        <f t="shared" si="10"/>
        <v>-3.840721180805063E-6</v>
      </c>
      <c r="G178" s="70">
        <f t="shared" si="11"/>
        <v>3.3032705284884554E-8</v>
      </c>
    </row>
    <row r="179" spans="1:7" x14ac:dyDescent="0.3">
      <c r="A179" s="72">
        <v>46164</v>
      </c>
      <c r="B179" s="71">
        <f>('Price Data'!B178-'Price Data'!B177)/'Price Data'!B177</f>
        <v>5.1052967453732419E-3</v>
      </c>
      <c r="C179" s="71">
        <f>('Price Data'!C178-'Price Data'!C177)/'Price Data'!C177</f>
        <v>2.7309583296342183E-3</v>
      </c>
      <c r="D179" s="71">
        <f t="shared" si="8"/>
        <v>5.1052967453732419E-3</v>
      </c>
      <c r="E179" s="71">
        <f t="shared" si="9"/>
        <v>2.7309583296342183E-3</v>
      </c>
      <c r="F179" s="70">
        <f t="shared" si="10"/>
        <v>1.394235267203152E-5</v>
      </c>
      <c r="G179" s="70">
        <f t="shared" si="11"/>
        <v>7.4581333981985191E-6</v>
      </c>
    </row>
    <row r="180" spans="1:7" x14ac:dyDescent="0.3">
      <c r="A180" s="72">
        <v>46167</v>
      </c>
      <c r="B180" s="71">
        <f>('Price Data'!B179-'Price Data'!B178)/'Price Data'!B178</f>
        <v>1.0521541950113296E-2</v>
      </c>
      <c r="C180" s="71">
        <f>('Price Data'!C179-'Price Data'!C178)/'Price Data'!C178</f>
        <v>1.3170709085006786E-2</v>
      </c>
      <c r="D180" s="71">
        <f t="shared" si="8"/>
        <v>1.0521541950113296E-2</v>
      </c>
      <c r="E180" s="71">
        <f t="shared" si="9"/>
        <v>1.3170709085006786E-2</v>
      </c>
      <c r="F180" s="70">
        <f t="shared" si="10"/>
        <v>1.385761681506372E-4</v>
      </c>
      <c r="G180" s="70">
        <f t="shared" si="11"/>
        <v>1.7346757780188027E-4</v>
      </c>
    </row>
    <row r="181" spans="1:7" x14ac:dyDescent="0.3">
      <c r="A181" s="72">
        <v>46168</v>
      </c>
      <c r="B181" s="71">
        <f>('Price Data'!B180-'Price Data'!B179)/'Price Data'!B179</f>
        <v>3.4018490261197465E-2</v>
      </c>
      <c r="C181" s="71">
        <f>('Price Data'!C180-'Price Data'!C179)/'Price Data'!C179</f>
        <v>-4.9101811357498632E-3</v>
      </c>
      <c r="D181" s="71">
        <f t="shared" si="8"/>
        <v>3.4018490261197465E-2</v>
      </c>
      <c r="E181" s="71">
        <f t="shared" si="9"/>
        <v>-4.9101811357498632E-3</v>
      </c>
      <c r="F181" s="70">
        <f t="shared" si="10"/>
        <v>-1.6703694914722223E-4</v>
      </c>
      <c r="G181" s="70">
        <f t="shared" si="11"/>
        <v>2.4109878785873815E-5</v>
      </c>
    </row>
    <row r="182" spans="1:7" x14ac:dyDescent="0.3">
      <c r="A182" s="72">
        <v>46169</v>
      </c>
      <c r="B182" s="71">
        <f>('Price Data'!B181-'Price Data'!B180)/'Price Data'!B180</f>
        <v>4.5225694444444367E-2</v>
      </c>
      <c r="C182" s="71">
        <f>('Price Data'!C181-'Price Data'!C180)/'Price Data'!C180</f>
        <v>-2.7390157106592757E-4</v>
      </c>
      <c r="D182" s="71">
        <f t="shared" si="8"/>
        <v>4.5225694444444367E-2</v>
      </c>
      <c r="E182" s="71">
        <f t="shared" si="9"/>
        <v>-2.7390157106592757E-4</v>
      </c>
      <c r="F182" s="70">
        <f t="shared" si="10"/>
        <v>-1.2387388760880904E-5</v>
      </c>
      <c r="G182" s="70">
        <f t="shared" si="11"/>
        <v>7.5022070632383374E-8</v>
      </c>
    </row>
    <row r="183" spans="1:7" x14ac:dyDescent="0.3">
      <c r="A183" s="72">
        <v>46171</v>
      </c>
      <c r="B183" s="71">
        <f>('Price Data'!B182-'Price Data'!B181)/'Price Data'!B181</f>
        <v>-1.1626941283946517E-2</v>
      </c>
      <c r="C183" s="71">
        <f>('Price Data'!C182-'Price Data'!C181)/'Price Data'!C181</f>
        <v>-1.5033159535954785E-2</v>
      </c>
      <c r="D183" s="71">
        <f t="shared" si="8"/>
        <v>-1.1626941283946517E-2</v>
      </c>
      <c r="E183" s="71">
        <f t="shared" si="9"/>
        <v>-1.5033159535954785E-2</v>
      </c>
      <c r="F183" s="70">
        <f t="shared" si="10"/>
        <v>1.7478966323674695E-4</v>
      </c>
      <c r="G183" s="70">
        <f t="shared" si="11"/>
        <v>2.2599588563346828E-4</v>
      </c>
    </row>
    <row r="184" spans="1:7" x14ac:dyDescent="0.3">
      <c r="A184" s="72">
        <v>46174</v>
      </c>
      <c r="B184" s="71">
        <f>('Price Data'!B183-'Price Data'!B182)/'Price Data'!B182</f>
        <v>-1.9494160154608704E-2</v>
      </c>
      <c r="C184" s="71">
        <f>('Price Data'!C183-'Price Data'!C182)/'Price Data'!C182</f>
        <v>-7.0134089244195926E-3</v>
      </c>
      <c r="D184" s="71">
        <f t="shared" si="8"/>
        <v>-1.9494160154608704E-2</v>
      </c>
      <c r="E184" s="71">
        <f t="shared" si="9"/>
        <v>-7.0134089244195926E-3</v>
      </c>
      <c r="F184" s="70">
        <f t="shared" si="10"/>
        <v>1.3672051680239751E-4</v>
      </c>
      <c r="G184" s="70">
        <f t="shared" si="11"/>
        <v>4.9187904741128385E-5</v>
      </c>
    </row>
    <row r="185" spans="1:7" x14ac:dyDescent="0.3">
      <c r="A185" s="72">
        <v>46175</v>
      </c>
      <c r="B185" s="71">
        <f>('Price Data'!B184-'Price Data'!B183)/'Price Data'!B183</f>
        <v>8.741108921072771E-3</v>
      </c>
      <c r="C185" s="71">
        <f>('Price Data'!C184-'Price Data'!C183)/'Price Data'!C183</f>
        <v>4.3173128736753285E-3</v>
      </c>
      <c r="D185" s="71">
        <f t="shared" si="8"/>
        <v>8.741108921072771E-3</v>
      </c>
      <c r="E185" s="71">
        <f t="shared" si="9"/>
        <v>4.3173128736753285E-3</v>
      </c>
      <c r="F185" s="70">
        <f t="shared" si="10"/>
        <v>3.7738102075145737E-5</v>
      </c>
      <c r="G185" s="70">
        <f t="shared" si="11"/>
        <v>1.8639190449202723E-5</v>
      </c>
    </row>
    <row r="186" spans="1:7" x14ac:dyDescent="0.3">
      <c r="A186" s="72">
        <v>46176</v>
      </c>
      <c r="B186" s="71">
        <f>('Price Data'!B185-'Price Data'!B184)/'Price Data'!B184</f>
        <v>-1.4187409735791199E-2</v>
      </c>
      <c r="C186" s="71">
        <f>('Price Data'!C185-'Price Data'!C184)/'Price Data'!C184</f>
        <v>-3.3193448179683538E-3</v>
      </c>
      <c r="D186" s="71">
        <f t="shared" si="8"/>
        <v>-1.4187409735791199E-2</v>
      </c>
      <c r="E186" s="71">
        <f t="shared" si="9"/>
        <v>-3.3193448179683538E-3</v>
      </c>
      <c r="F186" s="70">
        <f t="shared" si="10"/>
        <v>4.7092904986892285E-5</v>
      </c>
      <c r="G186" s="70">
        <f t="shared" si="11"/>
        <v>1.1018050020573363E-5</v>
      </c>
    </row>
    <row r="187" spans="1:7" x14ac:dyDescent="0.3">
      <c r="A187" s="72">
        <v>46177</v>
      </c>
      <c r="B187" s="71">
        <f>('Price Data'!B186-'Price Data'!B185)/'Price Data'!B185</f>
        <v>1.697690451568409E-2</v>
      </c>
      <c r="C187" s="71">
        <f>('Price Data'!C186-'Price Data'!C185)/'Price Data'!C185</f>
        <v>4.6783675701544622E-4</v>
      </c>
      <c r="D187" s="71">
        <f t="shared" si="8"/>
        <v>1.697690451568409E-2</v>
      </c>
      <c r="E187" s="71">
        <f t="shared" si="9"/>
        <v>4.6783675701544622E-4</v>
      </c>
      <c r="F187" s="70">
        <f t="shared" si="10"/>
        <v>7.9424199527785299E-6</v>
      </c>
      <c r="G187" s="70">
        <f t="shared" si="11"/>
        <v>2.1887123121472967E-7</v>
      </c>
    </row>
    <row r="188" spans="1:7" x14ac:dyDescent="0.3">
      <c r="A188" s="72">
        <v>46178</v>
      </c>
      <c r="B188" s="71">
        <f>('Price Data'!B187-'Price Data'!B186)/'Price Data'!B186</f>
        <v>-9.9144140327089396E-3</v>
      </c>
      <c r="C188" s="71">
        <f>('Price Data'!C187-'Price Data'!C186)/'Price Data'!C186</f>
        <v>-2.1288362290772357E-3</v>
      </c>
      <c r="D188" s="71">
        <f t="shared" si="8"/>
        <v>-9.9144140327089396E-3</v>
      </c>
      <c r="E188" s="71">
        <f t="shared" si="9"/>
        <v>-2.1288362290772357E-3</v>
      </c>
      <c r="F188" s="70">
        <f t="shared" si="10"/>
        <v>2.1106163782902528E-5</v>
      </c>
      <c r="G188" s="70">
        <f t="shared" si="11"/>
        <v>4.5319436902317851E-6</v>
      </c>
    </row>
    <row r="189" spans="1:7" x14ac:dyDescent="0.3">
      <c r="A189" s="72">
        <v>46181</v>
      </c>
      <c r="B189" s="71">
        <f>('Price Data'!B188-'Price Data'!B187)/'Price Data'!B187</f>
        <v>-2.2680588839438548E-2</v>
      </c>
      <c r="C189" s="71">
        <f>('Price Data'!C188-'Price Data'!C187)/'Price Data'!C187</f>
        <v>-1.0429371712736533E-2</v>
      </c>
      <c r="D189" s="71">
        <f t="shared" si="8"/>
        <v>-2.2680588839438548E-2</v>
      </c>
      <c r="E189" s="71">
        <f t="shared" si="9"/>
        <v>-1.0429371712736533E-2</v>
      </c>
      <c r="F189" s="70">
        <f t="shared" si="10"/>
        <v>2.365442916702483E-4</v>
      </c>
      <c r="G189" s="70">
        <f t="shared" si="11"/>
        <v>1.0877179432242896E-4</v>
      </c>
    </row>
    <row r="190" spans="1:7" x14ac:dyDescent="0.3">
      <c r="A190" s="72">
        <v>46182</v>
      </c>
      <c r="B190" s="71">
        <f>('Price Data'!B189-'Price Data'!B188)/'Price Data'!B188</f>
        <v>-9.6330676941950818E-4</v>
      </c>
      <c r="C190" s="71">
        <f>('Price Data'!C189-'Price Data'!C188)/'Price Data'!C188</f>
        <v>5.1507157375772408E-3</v>
      </c>
      <c r="D190" s="71">
        <f t="shared" si="8"/>
        <v>-9.6330676941950818E-4</v>
      </c>
      <c r="E190" s="71">
        <f t="shared" si="9"/>
        <v>5.1507157375772408E-3</v>
      </c>
      <c r="F190" s="70">
        <f t="shared" si="10"/>
        <v>-4.9617193373637511E-6</v>
      </c>
      <c r="G190" s="70">
        <f t="shared" si="11"/>
        <v>2.6529872609325858E-5</v>
      </c>
    </row>
    <row r="191" spans="1:7" x14ac:dyDescent="0.3">
      <c r="A191" s="72">
        <v>46183</v>
      </c>
      <c r="B191" s="71">
        <f>('Price Data'!B190-'Price Data'!B189)/'Price Data'!B189</f>
        <v>-1.709326788218794E-2</v>
      </c>
      <c r="C191" s="71">
        <f>('Price Data'!C190-'Price Data'!C189)/'Price Data'!C189</f>
        <v>-1.1681388514806243E-3</v>
      </c>
      <c r="D191" s="71">
        <f t="shared" si="8"/>
        <v>-1.709326788218794E-2</v>
      </c>
      <c r="E191" s="71">
        <f t="shared" si="9"/>
        <v>-1.1681388514806243E-3</v>
      </c>
      <c r="F191" s="70">
        <f t="shared" si="10"/>
        <v>1.9967310311949663E-5</v>
      </c>
      <c r="G191" s="70">
        <f t="shared" si="11"/>
        <v>1.364548376338472E-6</v>
      </c>
    </row>
    <row r="192" spans="1:7" x14ac:dyDescent="0.3">
      <c r="A192" s="72">
        <v>46184</v>
      </c>
      <c r="B192" s="71">
        <f>('Price Data'!B191-'Price Data'!B190)/'Price Data'!B190</f>
        <v>-1.4982609471149518E-2</v>
      </c>
      <c r="C192" s="71">
        <f>('Price Data'!C191-'Price Data'!C190)/'Price Data'!C190</f>
        <v>-2.2980880854794939E-3</v>
      </c>
      <c r="D192" s="71">
        <f t="shared" si="8"/>
        <v>-1.4982609471149518E-2</v>
      </c>
      <c r="E192" s="71">
        <f t="shared" si="9"/>
        <v>-2.2980880854794939E-3</v>
      </c>
      <c r="F192" s="70">
        <f t="shared" si="10"/>
        <v>3.4431356315040932E-5</v>
      </c>
      <c r="G192" s="70">
        <f t="shared" si="11"/>
        <v>5.2812088486228058E-6</v>
      </c>
    </row>
    <row r="193" spans="1:7" x14ac:dyDescent="0.3">
      <c r="A193" s="72">
        <v>46185</v>
      </c>
      <c r="B193" s="71">
        <f>('Price Data'!B192-'Price Data'!B191)/'Price Data'!B191</f>
        <v>1.2856496152105067E-2</v>
      </c>
      <c r="C193" s="71">
        <f>('Price Data'!C192-'Price Data'!C191)/'Price Data'!C191</f>
        <v>1.9916586073501094E-2</v>
      </c>
      <c r="D193" s="71">
        <f t="shared" si="8"/>
        <v>1.2856496152105067E-2</v>
      </c>
      <c r="E193" s="71">
        <f t="shared" si="9"/>
        <v>1.9916586073501094E-2</v>
      </c>
      <c r="F193" s="70">
        <f t="shared" si="10"/>
        <v>2.5605751221703617E-4</v>
      </c>
      <c r="G193" s="70">
        <f t="shared" si="11"/>
        <v>3.9667040082317772E-4</v>
      </c>
    </row>
    <row r="194" spans="1:7" x14ac:dyDescent="0.3">
      <c r="A194" s="72">
        <v>46188</v>
      </c>
      <c r="B194" s="71">
        <f>('Price Data'!B193-'Price Data'!B192)/'Price Data'!B192</f>
        <v>1.2335746849021145E-2</v>
      </c>
      <c r="C194" s="71">
        <f>('Price Data'!C193-'Price Data'!C192)/'Price Data'!C192</f>
        <v>9.7786469908436296E-3</v>
      </c>
      <c r="D194" s="71">
        <f t="shared" si="8"/>
        <v>1.2335746849021145E-2</v>
      </c>
      <c r="E194" s="71">
        <f t="shared" si="9"/>
        <v>9.7786469908436296E-3</v>
      </c>
      <c r="F194" s="70">
        <f t="shared" si="10"/>
        <v>1.2062691380498941E-4</v>
      </c>
      <c r="G194" s="70">
        <f t="shared" si="11"/>
        <v>9.5621936971535175E-5</v>
      </c>
    </row>
    <row r="195" spans="1:7" x14ac:dyDescent="0.3">
      <c r="A195" s="72">
        <v>46189</v>
      </c>
      <c r="B195" s="71">
        <f>('Price Data'!B194-'Price Data'!B193)/'Price Data'!B193</f>
        <v>-7.4172185430464383E-3</v>
      </c>
      <c r="C195" s="71">
        <f>('Price Data'!C194-'Price Data'!C193)/'Price Data'!C193</f>
        <v>5.6699323800300993E-3</v>
      </c>
      <c r="D195" s="71">
        <f t="shared" si="8"/>
        <v>-7.4172185430464383E-3</v>
      </c>
      <c r="E195" s="71">
        <f t="shared" si="9"/>
        <v>5.6699323800300993E-3</v>
      </c>
      <c r="F195" s="70">
        <f t="shared" si="10"/>
        <v>-4.2055127586978678E-5</v>
      </c>
      <c r="G195" s="70">
        <f t="shared" si="11"/>
        <v>3.214813319411379E-5</v>
      </c>
    </row>
    <row r="196" spans="1:7" x14ac:dyDescent="0.3">
      <c r="A196" s="72">
        <v>46190</v>
      </c>
      <c r="B196" s="71">
        <f>('Price Data'!B195-'Price Data'!B194)/'Price Data'!B194</f>
        <v>1.7703051329952934E-2</v>
      </c>
      <c r="C196" s="71">
        <f>('Price Data'!C195-'Price Data'!C194)/'Price Data'!C194</f>
        <v>4.0247361828159509E-3</v>
      </c>
      <c r="D196" s="71">
        <f t="shared" si="8"/>
        <v>1.7703051329952934E-2</v>
      </c>
      <c r="E196" s="71">
        <f t="shared" si="9"/>
        <v>4.0247361828159509E-3</v>
      </c>
      <c r="F196" s="70">
        <f t="shared" si="10"/>
        <v>7.1250111233909613E-5</v>
      </c>
      <c r="G196" s="70">
        <f t="shared" si="11"/>
        <v>1.6198501341267911E-5</v>
      </c>
    </row>
    <row r="197" spans="1:7" x14ac:dyDescent="0.3">
      <c r="A197" s="72">
        <v>46191</v>
      </c>
      <c r="B197" s="71">
        <f>('Price Data'!B196-'Price Data'!B195)/'Price Data'!B195</f>
        <v>6.2062937062936268E-3</v>
      </c>
      <c r="C197" s="71">
        <f>('Price Data'!C196-'Price Data'!C195)/'Price Data'!C195</f>
        <v>3.4169652532415194E-3</v>
      </c>
      <c r="D197" s="71">
        <f t="shared" si="8"/>
        <v>6.2062937062936268E-3</v>
      </c>
      <c r="E197" s="71">
        <f t="shared" si="9"/>
        <v>3.4169652532415194E-3</v>
      </c>
      <c r="F197" s="70">
        <f t="shared" si="10"/>
        <v>2.1206689945816851E-5</v>
      </c>
      <c r="G197" s="70">
        <f t="shared" si="11"/>
        <v>1.1675651541859882E-5</v>
      </c>
    </row>
    <row r="198" spans="1:7" x14ac:dyDescent="0.3">
      <c r="A198" s="72">
        <v>46192</v>
      </c>
      <c r="B198" s="71">
        <f>('Price Data'!B197-'Price Data'!B196)/'Price Data'!B196</f>
        <v>-9.4692033706887876E-3</v>
      </c>
      <c r="C198" s="71">
        <f>('Price Data'!C197-'Price Data'!C196)/'Price Data'!C196</f>
        <v>-6.4093015557762931E-3</v>
      </c>
      <c r="D198" s="71">
        <f t="shared" si="8"/>
        <v>-9.4692033706887876E-3</v>
      </c>
      <c r="E198" s="71">
        <f t="shared" si="9"/>
        <v>-6.4093015557762931E-3</v>
      </c>
      <c r="F198" s="70">
        <f t="shared" si="10"/>
        <v>6.0690979895717766E-5</v>
      </c>
      <c r="G198" s="70">
        <f t="shared" si="11"/>
        <v>4.1079146432876408E-5</v>
      </c>
    </row>
    <row r="199" spans="1:7" x14ac:dyDescent="0.3">
      <c r="A199" s="72">
        <v>46195</v>
      </c>
      <c r="B199" s="71">
        <f>('Price Data'!B198-'Price Data'!B197)/'Price Data'!B197</f>
        <v>2.0961234871075131E-2</v>
      </c>
      <c r="C199" s="71">
        <f>('Price Data'!C198-'Price Data'!C197)/'Price Data'!C197</f>
        <v>3.7396254544395731E-3</v>
      </c>
      <c r="D199" s="71">
        <f t="shared" ref="D199:D252" si="12">B199-$B$4</f>
        <v>2.0961234871075131E-2</v>
      </c>
      <c r="E199" s="71">
        <f t="shared" ref="E199:E252" si="13">C199-$C$5</f>
        <v>3.7396254544395731E-3</v>
      </c>
      <c r="F199" s="70">
        <f t="shared" ref="F199:F252" si="14">D199*E199</f>
        <v>7.8387167480358961E-5</v>
      </c>
      <c r="G199" s="70">
        <f t="shared" ref="G199:G252" si="15">E199^2</f>
        <v>1.3984798539492384E-5</v>
      </c>
    </row>
    <row r="200" spans="1:7" x14ac:dyDescent="0.3">
      <c r="A200" s="72">
        <v>46196</v>
      </c>
      <c r="B200" s="71">
        <f>('Price Data'!B199-'Price Data'!B198)/'Price Data'!B198</f>
        <v>-2.2592560776565549E-2</v>
      </c>
      <c r="C200" s="71">
        <f>('Price Data'!C199-'Price Data'!C198)/'Price Data'!C198</f>
        <v>-1.1567072841857325E-2</v>
      </c>
      <c r="D200" s="71">
        <f t="shared" si="12"/>
        <v>-2.2592560776565549E-2</v>
      </c>
      <c r="E200" s="71">
        <f t="shared" si="13"/>
        <v>-1.1567072841857325E-2</v>
      </c>
      <c r="F200" s="70">
        <f t="shared" si="14"/>
        <v>2.6132979618662241E-4</v>
      </c>
      <c r="G200" s="70">
        <f t="shared" si="15"/>
        <v>1.3379717412883329E-4</v>
      </c>
    </row>
    <row r="201" spans="1:7" x14ac:dyDescent="0.3">
      <c r="A201" s="72">
        <v>46197</v>
      </c>
      <c r="B201" s="71">
        <f>('Price Data'!B200-'Price Data'!B199)/'Price Data'!B199</f>
        <v>9.6677799261733165E-3</v>
      </c>
      <c r="C201" s="71">
        <f>('Price Data'!C200-'Price Data'!C199)/'Price Data'!C199</f>
        <v>8.2920236231380385E-3</v>
      </c>
      <c r="D201" s="71">
        <f t="shared" si="12"/>
        <v>9.6677799261733165E-3</v>
      </c>
      <c r="E201" s="71">
        <f t="shared" si="13"/>
        <v>8.2920236231380385E-3</v>
      </c>
      <c r="F201" s="70">
        <f t="shared" si="14"/>
        <v>8.0165459531128863E-5</v>
      </c>
      <c r="G201" s="70">
        <f t="shared" si="15"/>
        <v>6.8757655766679286E-5</v>
      </c>
    </row>
    <row r="202" spans="1:7" x14ac:dyDescent="0.3">
      <c r="A202" s="72">
        <v>46198</v>
      </c>
      <c r="B202" s="71">
        <f>('Price Data'!B201-'Price Data'!B200)/'Price Data'!B200</f>
        <v>-1.5668523676879828E-3</v>
      </c>
      <c r="C202" s="71">
        <f>('Price Data'!C201-'Price Data'!C200)/'Price Data'!C200</f>
        <v>1.4299600568653088E-3</v>
      </c>
      <c r="D202" s="71">
        <f t="shared" si="12"/>
        <v>-1.5668523676879828E-3</v>
      </c>
      <c r="E202" s="71">
        <f t="shared" si="13"/>
        <v>1.4299600568653088E-3</v>
      </c>
      <c r="F202" s="70">
        <f t="shared" si="14"/>
        <v>-2.2405363007986516E-6</v>
      </c>
      <c r="G202" s="70">
        <f t="shared" si="15"/>
        <v>2.044785764230237E-6</v>
      </c>
    </row>
    <row r="203" spans="1:7" x14ac:dyDescent="0.3">
      <c r="A203" s="72">
        <v>46202</v>
      </c>
      <c r="B203" s="71">
        <f>('Price Data'!B202-'Price Data'!B201)/'Price Data'!B201</f>
        <v>2.2231909328683522E-2</v>
      </c>
      <c r="C203" s="71">
        <f>('Price Data'!C202-'Price Data'!C201)/'Price Data'!C201</f>
        <v>-4.562271366810775E-3</v>
      </c>
      <c r="D203" s="71">
        <f t="shared" si="12"/>
        <v>2.2231909328683522E-2</v>
      </c>
      <c r="E203" s="71">
        <f t="shared" si="13"/>
        <v>-4.562271366810775E-3</v>
      </c>
      <c r="F203" s="70">
        <f t="shared" si="14"/>
        <v>-1.014280033597862E-4</v>
      </c>
      <c r="G203" s="70">
        <f t="shared" si="15"/>
        <v>2.0814320024421457E-5</v>
      </c>
    </row>
    <row r="204" spans="1:7" x14ac:dyDescent="0.3">
      <c r="A204" s="72">
        <v>46203</v>
      </c>
      <c r="B204" s="71">
        <f>('Price Data'!B203-'Price Data'!B202)/'Price Data'!B202</f>
        <v>-5.2878464818763718E-3</v>
      </c>
      <c r="C204" s="71">
        <f>('Price Data'!C203-'Price Data'!C202)/'Price Data'!C202</f>
        <v>-3.3616954637991333E-3</v>
      </c>
      <c r="D204" s="71">
        <f t="shared" si="12"/>
        <v>-5.2878464818763718E-3</v>
      </c>
      <c r="E204" s="71">
        <f t="shared" si="13"/>
        <v>-3.3616954637991333E-3</v>
      </c>
      <c r="F204" s="70">
        <f t="shared" si="14"/>
        <v>1.7776129531390006E-5</v>
      </c>
      <c r="G204" s="70">
        <f t="shared" si="15"/>
        <v>1.130099639132767E-5</v>
      </c>
    </row>
    <row r="205" spans="1:7" x14ac:dyDescent="0.3">
      <c r="A205" s="72">
        <v>46204</v>
      </c>
      <c r="B205" s="71">
        <f>('Price Data'!B204-'Price Data'!B203)/'Price Data'!B203</f>
        <v>-2.3493097830746691E-2</v>
      </c>
      <c r="C205" s="71">
        <f>('Price Data'!C204-'Price Data'!C203)/'Price Data'!C203</f>
        <v>5.8703371987051962E-3</v>
      </c>
      <c r="D205" s="71">
        <f t="shared" si="12"/>
        <v>-2.3493097830746691E-2</v>
      </c>
      <c r="E205" s="71">
        <f t="shared" si="13"/>
        <v>5.8703371987051962E-3</v>
      </c>
      <c r="F205" s="70">
        <f t="shared" si="14"/>
        <v>-1.3791240610865266E-4</v>
      </c>
      <c r="G205" s="70">
        <f t="shared" si="15"/>
        <v>3.4460858826501972E-5</v>
      </c>
    </row>
    <row r="206" spans="1:7" x14ac:dyDescent="0.3">
      <c r="A206" s="72">
        <v>46205</v>
      </c>
      <c r="B206" s="71">
        <f>('Price Data'!B205-'Price Data'!B204)/'Price Data'!B204</f>
        <v>-7.1999297567829001E-3</v>
      </c>
      <c r="C206" s="71">
        <f>('Price Data'!C205-'Price Data'!C204)/'Price Data'!C204</f>
        <v>7.0753587146467293E-3</v>
      </c>
      <c r="D206" s="71">
        <f t="shared" si="12"/>
        <v>-7.1999297567829001E-3</v>
      </c>
      <c r="E206" s="71">
        <f t="shared" si="13"/>
        <v>7.0753587146467293E-3</v>
      </c>
      <c r="F206" s="70">
        <f t="shared" si="14"/>
        <v>-5.0942085749498201E-5</v>
      </c>
      <c r="G206" s="70">
        <f t="shared" si="15"/>
        <v>5.0060700940927417E-5</v>
      </c>
    </row>
    <row r="207" spans="1:7" x14ac:dyDescent="0.3">
      <c r="A207" s="72">
        <v>46206</v>
      </c>
      <c r="B207" s="71">
        <f>('Price Data'!B206-'Price Data'!B205)/'Price Data'!B205</f>
        <v>-2.6797559034226544E-2</v>
      </c>
      <c r="C207" s="71">
        <f>('Price Data'!C206-'Price Data'!C205)/'Price Data'!C205</f>
        <v>3.9357702155469257E-3</v>
      </c>
      <c r="D207" s="71">
        <f t="shared" si="12"/>
        <v>-2.6797559034226544E-2</v>
      </c>
      <c r="E207" s="71">
        <f t="shared" si="13"/>
        <v>3.9357702155469257E-3</v>
      </c>
      <c r="F207" s="70">
        <f t="shared" si="14"/>
        <v>-1.0546903469626927E-4</v>
      </c>
      <c r="G207" s="70">
        <f t="shared" si="15"/>
        <v>1.5490287189586293E-5</v>
      </c>
    </row>
    <row r="208" spans="1:7" x14ac:dyDescent="0.3">
      <c r="A208" s="72">
        <v>46209</v>
      </c>
      <c r="B208" s="71">
        <f>('Price Data'!B207-'Price Data'!B206)/'Price Data'!B206</f>
        <v>-5.0890585241731515E-3</v>
      </c>
      <c r="C208" s="71">
        <f>('Price Data'!C207-'Price Data'!C206)/'Price Data'!C206</f>
        <v>6.5716693070082014E-3</v>
      </c>
      <c r="D208" s="71">
        <f t="shared" si="12"/>
        <v>-5.0890585241731515E-3</v>
      </c>
      <c r="E208" s="71">
        <f t="shared" si="13"/>
        <v>6.5716693070082014E-3</v>
      </c>
      <c r="F208" s="70">
        <f t="shared" si="14"/>
        <v>-3.3443609704877153E-5</v>
      </c>
      <c r="G208" s="70">
        <f t="shared" si="15"/>
        <v>4.3186837480673653E-5</v>
      </c>
    </row>
    <row r="209" spans="1:7" x14ac:dyDescent="0.3">
      <c r="A209" s="72">
        <v>46210</v>
      </c>
      <c r="B209" s="71">
        <f>('Price Data'!B208-'Price Data'!B207)/'Price Data'!B207</f>
        <v>-5.8458165875044429E-3</v>
      </c>
      <c r="C209" s="71">
        <f>('Price Data'!C208-'Price Data'!C207)/'Price Data'!C207</f>
        <v>-1.2955197121612182E-3</v>
      </c>
      <c r="D209" s="71">
        <f t="shared" si="12"/>
        <v>-5.8458165875044429E-3</v>
      </c>
      <c r="E209" s="71">
        <f t="shared" si="13"/>
        <v>-1.2955197121612182E-3</v>
      </c>
      <c r="F209" s="70">
        <f t="shared" si="14"/>
        <v>7.5733706227910311E-6</v>
      </c>
      <c r="G209" s="70">
        <f t="shared" si="15"/>
        <v>1.6783713245982857E-6</v>
      </c>
    </row>
    <row r="210" spans="1:7" x14ac:dyDescent="0.3">
      <c r="A210" s="72">
        <v>46211</v>
      </c>
      <c r="B210" s="71">
        <f>('Price Data'!B209-'Price Data'!B208)/'Price Data'!B208</f>
        <v>-1.3322307975009186E-2</v>
      </c>
      <c r="C210" s="71">
        <f>('Price Data'!C209-'Price Data'!C208)/'Price Data'!C208</f>
        <v>-2.117530852053599E-2</v>
      </c>
      <c r="D210" s="71">
        <f t="shared" si="12"/>
        <v>-1.3322307975009186E-2</v>
      </c>
      <c r="E210" s="71">
        <f t="shared" si="13"/>
        <v>-2.117530852053599E-2</v>
      </c>
      <c r="F210" s="70">
        <f t="shared" si="14"/>
        <v>2.8210398157641658E-4</v>
      </c>
      <c r="G210" s="70">
        <f t="shared" si="15"/>
        <v>4.4839369093988408E-4</v>
      </c>
    </row>
    <row r="211" spans="1:7" x14ac:dyDescent="0.3">
      <c r="A211" s="72">
        <v>46212</v>
      </c>
      <c r="B211" s="71">
        <f>('Price Data'!B210-'Price Data'!B209)/'Price Data'!B209</f>
        <v>-6.5182977930906038E-3</v>
      </c>
      <c r="C211" s="71">
        <f>('Price Data'!C210-'Price Data'!C209)/'Price Data'!C209</f>
        <v>3.3812005250805524E-3</v>
      </c>
      <c r="D211" s="71">
        <f t="shared" si="12"/>
        <v>-6.5182977930906038E-3</v>
      </c>
      <c r="E211" s="71">
        <f t="shared" si="13"/>
        <v>3.3812005250805524E-3</v>
      </c>
      <c r="F211" s="70">
        <f t="shared" si="14"/>
        <v>-2.2039671920629356E-5</v>
      </c>
      <c r="G211" s="70">
        <f t="shared" si="15"/>
        <v>1.1432516990805003E-5</v>
      </c>
    </row>
    <row r="212" spans="1:7" x14ac:dyDescent="0.3">
      <c r="A212" s="72">
        <v>46213</v>
      </c>
      <c r="B212" s="71">
        <f>('Price Data'!B211-'Price Data'!B210)/'Price Data'!B210</f>
        <v>3.7491798669041142E-2</v>
      </c>
      <c r="C212" s="71">
        <f>('Price Data'!C211-'Price Data'!C210)/'Price Data'!C210</f>
        <v>1.0186622598360884E-2</v>
      </c>
      <c r="D212" s="71">
        <f t="shared" si="12"/>
        <v>3.7491798669041142E-2</v>
      </c>
      <c r="E212" s="71">
        <f t="shared" si="13"/>
        <v>1.0186622598360884E-2</v>
      </c>
      <c r="F212" s="70">
        <f t="shared" si="14"/>
        <v>3.8191480357525101E-4</v>
      </c>
      <c r="G212" s="70">
        <f t="shared" si="15"/>
        <v>1.0376727996143665E-4</v>
      </c>
    </row>
    <row r="213" spans="1:7" x14ac:dyDescent="0.3">
      <c r="A213" s="72">
        <v>46216</v>
      </c>
      <c r="B213" s="71">
        <f>('Price Data'!B212-'Price Data'!B211)/'Price Data'!B211</f>
        <v>3.6136959074881521E-4</v>
      </c>
      <c r="C213" s="71">
        <f>('Price Data'!C212-'Price Data'!C211)/'Price Data'!C211</f>
        <v>1.6937319524592347E-4</v>
      </c>
      <c r="D213" s="71">
        <f t="shared" si="12"/>
        <v>3.6136959074881521E-4</v>
      </c>
      <c r="E213" s="71">
        <f t="shared" si="13"/>
        <v>1.6937319524592347E-4</v>
      </c>
      <c r="F213" s="70">
        <f t="shared" si="14"/>
        <v>6.1206322249838538E-8</v>
      </c>
      <c r="G213" s="70">
        <f t="shared" si="15"/>
        <v>2.8687279267813713E-8</v>
      </c>
    </row>
    <row r="214" spans="1:7" x14ac:dyDescent="0.3">
      <c r="A214" s="72">
        <v>46217</v>
      </c>
      <c r="B214" s="71">
        <f>('Price Data'!B213-'Price Data'!B212)/'Price Data'!B212</f>
        <v>6.5023028989434168E-3</v>
      </c>
      <c r="C214" s="71">
        <f>('Price Data'!C213-'Price Data'!C212)/'Price Data'!C212</f>
        <v>-6.5651976374375585E-3</v>
      </c>
      <c r="D214" s="71">
        <f t="shared" si="12"/>
        <v>6.5023028989434168E-3</v>
      </c>
      <c r="E214" s="71">
        <f t="shared" si="13"/>
        <v>-6.5651976374375585E-3</v>
      </c>
      <c r="F214" s="70">
        <f t="shared" si="14"/>
        <v>-4.2688903630046707E-5</v>
      </c>
      <c r="G214" s="70">
        <f t="shared" si="15"/>
        <v>4.31018200186157E-5</v>
      </c>
    </row>
    <row r="215" spans="1:7" x14ac:dyDescent="0.3">
      <c r="A215" s="72">
        <v>46218</v>
      </c>
      <c r="B215" s="71">
        <f>('Price Data'!B214-'Price Data'!B213)/'Price Data'!B213</f>
        <v>-1.3189771197846608E-2</v>
      </c>
      <c r="C215" s="71">
        <f>('Price Data'!C214-'Price Data'!C213)/'Price Data'!C213</f>
        <v>1.0996983625096708E-3</v>
      </c>
      <c r="D215" s="71">
        <f t="shared" si="12"/>
        <v>-1.3189771197846608E-2</v>
      </c>
      <c r="E215" s="71">
        <f t="shared" si="13"/>
        <v>1.0996983625096708E-3</v>
      </c>
      <c r="F215" s="70">
        <f t="shared" si="14"/>
        <v>-1.4504769788149135E-5</v>
      </c>
      <c r="G215" s="70">
        <f t="shared" si="15"/>
        <v>1.2093364885064514E-6</v>
      </c>
    </row>
    <row r="216" spans="1:7" x14ac:dyDescent="0.3">
      <c r="A216" s="72">
        <v>46219</v>
      </c>
      <c r="B216" s="71">
        <f>('Price Data'!B215-'Price Data'!B214)/'Price Data'!B214</f>
        <v>-1.1820330969267139E-2</v>
      </c>
      <c r="C216" s="71">
        <f>('Price Data'!C215-'Price Data'!C214)/'Price Data'!C214</f>
        <v>-2.3880225097078306E-4</v>
      </c>
      <c r="D216" s="71">
        <f t="shared" si="12"/>
        <v>-1.1820330969267139E-2</v>
      </c>
      <c r="E216" s="71">
        <f t="shared" si="13"/>
        <v>-2.3880225097078306E-4</v>
      </c>
      <c r="F216" s="70">
        <f t="shared" si="14"/>
        <v>2.8227216426806507E-6</v>
      </c>
      <c r="G216" s="70">
        <f t="shared" si="15"/>
        <v>5.702651506871286E-8</v>
      </c>
    </row>
    <row r="217" spans="1:7" x14ac:dyDescent="0.3">
      <c r="A217" s="72">
        <v>46220</v>
      </c>
      <c r="B217" s="71">
        <f>('Price Data'!B216-'Price Data'!B215)/'Price Data'!B215</f>
        <v>-4.0485829959512913E-3</v>
      </c>
      <c r="C217" s="71">
        <f>('Price Data'!C216-'Price Data'!C215)/'Price Data'!C215</f>
        <v>1.0864982189405003E-2</v>
      </c>
      <c r="D217" s="71">
        <f t="shared" si="12"/>
        <v>-4.0485829959512913E-3</v>
      </c>
      <c r="E217" s="71">
        <f t="shared" si="13"/>
        <v>1.0864982189405003E-2</v>
      </c>
      <c r="F217" s="70">
        <f t="shared" si="14"/>
        <v>-4.3987782143338727E-5</v>
      </c>
      <c r="G217" s="70">
        <f t="shared" si="15"/>
        <v>1.1804783797608792E-4</v>
      </c>
    </row>
    <row r="218" spans="1:7" x14ac:dyDescent="0.3">
      <c r="A218" s="72">
        <v>46223</v>
      </c>
      <c r="B218" s="71">
        <f>('Price Data'!B217-'Price Data'!B216)/'Price Data'!B216</f>
        <v>4.8965262379896519E-2</v>
      </c>
      <c r="C218" s="71">
        <f>('Price Data'!C217-'Price Data'!C216)/'Price Data'!C216</f>
        <v>-3.9368299067570993E-3</v>
      </c>
      <c r="D218" s="71">
        <f t="shared" si="12"/>
        <v>4.8965262379896519E-2</v>
      </c>
      <c r="E218" s="71">
        <f t="shared" si="13"/>
        <v>-3.9368299067570993E-3</v>
      </c>
      <c r="F218" s="70">
        <f t="shared" si="14"/>
        <v>-1.9276790932938492E-4</v>
      </c>
      <c r="G218" s="70">
        <f t="shared" si="15"/>
        <v>1.5498629714737111E-5</v>
      </c>
    </row>
    <row r="219" spans="1:7" x14ac:dyDescent="0.3">
      <c r="A219" s="72">
        <v>46224</v>
      </c>
      <c r="B219" s="71">
        <f>('Price Data'!B218-'Price Data'!B217)/'Price Data'!B217</f>
        <v>-2.6422406200457987E-3</v>
      </c>
      <c r="C219" s="71">
        <f>('Price Data'!C218-'Price Data'!C217)/'Price Data'!C217</f>
        <v>-2.0958392639808267E-3</v>
      </c>
      <c r="D219" s="71">
        <f t="shared" si="12"/>
        <v>-2.6422406200457987E-3</v>
      </c>
      <c r="E219" s="71">
        <f t="shared" si="13"/>
        <v>-2.0958392639808267E-3</v>
      </c>
      <c r="F219" s="70">
        <f t="shared" si="14"/>
        <v>5.5377116363770303E-6</v>
      </c>
      <c r="G219" s="70">
        <f t="shared" si="15"/>
        <v>4.3925422204436938E-6</v>
      </c>
    </row>
    <row r="220" spans="1:7" x14ac:dyDescent="0.3">
      <c r="A220" s="72">
        <v>46225</v>
      </c>
      <c r="B220" s="71">
        <f>('Price Data'!B219-'Price Data'!B218)/'Price Data'!B218</f>
        <v>-7.9477216531261032E-3</v>
      </c>
      <c r="C220" s="71">
        <f>('Price Data'!C219-'Price Data'!C218)/'Price Data'!C218</f>
        <v>-7.9151800295191657E-3</v>
      </c>
      <c r="D220" s="71">
        <f t="shared" si="12"/>
        <v>-7.9477216531261032E-3</v>
      </c>
      <c r="E220" s="71">
        <f t="shared" si="13"/>
        <v>-7.9151800295191657E-3</v>
      </c>
      <c r="F220" s="70">
        <f t="shared" si="14"/>
        <v>6.2907647709000786E-5</v>
      </c>
      <c r="G220" s="70">
        <f t="shared" si="15"/>
        <v>6.2650074899699024E-5</v>
      </c>
    </row>
    <row r="221" spans="1:7" x14ac:dyDescent="0.3">
      <c r="A221" s="72">
        <v>46226</v>
      </c>
      <c r="B221" s="71">
        <f>('Price Data'!B220-'Price Data'!B219)/'Price Data'!B219</f>
        <v>-7.7443475164679053E-3</v>
      </c>
      <c r="C221" s="71">
        <f>('Price Data'!C220-'Price Data'!C219)/'Price Data'!C219</f>
        <v>-5.2779080064594029E-3</v>
      </c>
      <c r="D221" s="71">
        <f t="shared" si="12"/>
        <v>-7.7443475164679053E-3</v>
      </c>
      <c r="E221" s="71">
        <f t="shared" si="13"/>
        <v>-5.2779080064594029E-3</v>
      </c>
      <c r="F221" s="70">
        <f t="shared" si="14"/>
        <v>4.0873953761969948E-5</v>
      </c>
      <c r="G221" s="70">
        <f t="shared" si="15"/>
        <v>2.7856312924648269E-5</v>
      </c>
    </row>
    <row r="222" spans="1:7" x14ac:dyDescent="0.3">
      <c r="A222" s="72">
        <v>46227</v>
      </c>
      <c r="B222" s="71">
        <f>('Price Data'!B221-'Price Data'!B220)/'Price Data'!B220</f>
        <v>-1.0226966896923021E-2</v>
      </c>
      <c r="C222" s="71">
        <f>('Price Data'!C221-'Price Data'!C220)/'Price Data'!C220</f>
        <v>-4.2795019606527897E-3</v>
      </c>
      <c r="D222" s="71">
        <f t="shared" si="12"/>
        <v>-1.0226966896923021E-2</v>
      </c>
      <c r="E222" s="71">
        <f t="shared" si="13"/>
        <v>-4.2795019606527897E-3</v>
      </c>
      <c r="F222" s="70">
        <f t="shared" si="14"/>
        <v>4.3766324886913244E-5</v>
      </c>
      <c r="G222" s="70">
        <f t="shared" si="15"/>
        <v>1.8314137031231073E-5</v>
      </c>
    </row>
    <row r="223" spans="1:7" x14ac:dyDescent="0.3">
      <c r="A223" s="72">
        <v>46230</v>
      </c>
      <c r="B223" s="71">
        <f>('Price Data'!B222-'Price Data'!B221)/'Price Data'!B221</f>
        <v>-3.5348499954680175E-3</v>
      </c>
      <c r="C223" s="71">
        <f>('Price Data'!C222-'Price Data'!C221)/'Price Data'!C221</f>
        <v>9.6139888797494057E-3</v>
      </c>
      <c r="D223" s="71">
        <f t="shared" si="12"/>
        <v>-3.5348499954680175E-3</v>
      </c>
      <c r="E223" s="71">
        <f t="shared" si="13"/>
        <v>9.6139888797494057E-3</v>
      </c>
      <c r="F223" s="70">
        <f t="shared" si="14"/>
        <v>-3.3984008548011757E-5</v>
      </c>
      <c r="G223" s="70">
        <f t="shared" si="15"/>
        <v>9.2428782179945234E-5</v>
      </c>
    </row>
    <row r="224" spans="1:7" x14ac:dyDescent="0.3">
      <c r="A224" s="72">
        <v>46231</v>
      </c>
      <c r="B224" s="71">
        <f>('Price Data'!B223-'Price Data'!B222)/'Price Data'!B222</f>
        <v>-9.9144988175369209E-3</v>
      </c>
      <c r="C224" s="71">
        <f>('Price Data'!C223-'Price Data'!C222)/'Price Data'!C222</f>
        <v>-4.4174121049602881E-4</v>
      </c>
      <c r="D224" s="71">
        <f t="shared" si="12"/>
        <v>-9.9144988175369209E-3</v>
      </c>
      <c r="E224" s="71">
        <f t="shared" si="13"/>
        <v>-4.4174121049602881E-4</v>
      </c>
      <c r="F224" s="70">
        <f t="shared" si="14"/>
        <v>4.379642709120206E-6</v>
      </c>
      <c r="G224" s="70">
        <f t="shared" si="15"/>
        <v>1.9513529705049682E-7</v>
      </c>
    </row>
    <row r="225" spans="1:7" x14ac:dyDescent="0.3">
      <c r="A225" s="72">
        <v>46232</v>
      </c>
      <c r="B225" s="71">
        <f>('Price Data'!B224-'Price Data'!B223)/'Price Data'!B223</f>
        <v>2.6642168121268637E-3</v>
      </c>
      <c r="C225" s="71">
        <f>('Price Data'!C224-'Price Data'!C223)/'Price Data'!C223</f>
        <v>1.104215698332533E-2</v>
      </c>
      <c r="D225" s="71">
        <f t="shared" si="12"/>
        <v>2.6642168121268637E-3</v>
      </c>
      <c r="E225" s="71">
        <f t="shared" si="13"/>
        <v>1.104215698332533E-2</v>
      </c>
      <c r="F225" s="70">
        <f t="shared" si="14"/>
        <v>2.9418700277119395E-5</v>
      </c>
      <c r="G225" s="70">
        <f t="shared" si="15"/>
        <v>1.2192923084440035E-4</v>
      </c>
    </row>
    <row r="226" spans="1:7" x14ac:dyDescent="0.3">
      <c r="A226" s="72">
        <v>46233</v>
      </c>
      <c r="B226" s="71">
        <f>('Price Data'!B225-'Price Data'!B224)/'Price Data'!B224</f>
        <v>-3.6650174088326917E-3</v>
      </c>
      <c r="C226" s="71">
        <f>('Price Data'!C225-'Price Data'!C224)/'Price Data'!C224</f>
        <v>2.760801972767265E-3</v>
      </c>
      <c r="D226" s="71">
        <f t="shared" si="12"/>
        <v>-3.6650174088326917E-3</v>
      </c>
      <c r="E226" s="71">
        <f t="shared" si="13"/>
        <v>2.760801972767265E-3</v>
      </c>
      <c r="F226" s="70">
        <f t="shared" si="14"/>
        <v>-1.0118387292531665E-5</v>
      </c>
      <c r="G226" s="70">
        <f t="shared" si="15"/>
        <v>7.6220275328356221E-6</v>
      </c>
    </row>
    <row r="227" spans="1:7" x14ac:dyDescent="0.3">
      <c r="A227" s="72">
        <v>46234</v>
      </c>
      <c r="B227" s="71">
        <f>('Price Data'!B226-'Price Data'!B225)/'Price Data'!B225</f>
        <v>2.0139782968548705E-2</v>
      </c>
      <c r="C227" s="71">
        <f>('Price Data'!C226-'Price Data'!C225)/'Price Data'!C225</f>
        <v>2.7326393101164029E-3</v>
      </c>
      <c r="D227" s="71">
        <f t="shared" si="12"/>
        <v>2.0139782968548705E-2</v>
      </c>
      <c r="E227" s="71">
        <f t="shared" si="13"/>
        <v>2.7326393101164029E-3</v>
      </c>
      <c r="F227" s="70">
        <f t="shared" si="14"/>
        <v>5.5034762637069011E-5</v>
      </c>
      <c r="G227" s="70">
        <f t="shared" si="15"/>
        <v>7.4673175991934501E-6</v>
      </c>
    </row>
    <row r="228" spans="1:7" x14ac:dyDescent="0.3">
      <c r="A228" s="72">
        <v>46237</v>
      </c>
      <c r="B228" s="71">
        <f>('Price Data'!B227-'Price Data'!B226)/'Price Data'!B226</f>
        <v>2.5872171639772873E-2</v>
      </c>
      <c r="C228" s="71">
        <f>('Price Data'!C227-'Price Data'!C226)/'Price Data'!C226</f>
        <v>1.6023064682819631E-2</v>
      </c>
      <c r="D228" s="71">
        <f t="shared" si="12"/>
        <v>2.5872171639772873E-2</v>
      </c>
      <c r="E228" s="71">
        <f t="shared" si="13"/>
        <v>1.6023064682819631E-2</v>
      </c>
      <c r="F228" s="70">
        <f t="shared" si="14"/>
        <v>4.1455147966909235E-4</v>
      </c>
      <c r="G228" s="70">
        <f t="shared" si="15"/>
        <v>2.5673860182982177E-4</v>
      </c>
    </row>
    <row r="229" spans="1:7" x14ac:dyDescent="0.3">
      <c r="A229" s="72">
        <v>46238</v>
      </c>
      <c r="B229" s="71">
        <f>('Price Data'!B228-'Price Data'!B227)/'Price Data'!B227</f>
        <v>-1.7574692442882249E-3</v>
      </c>
      <c r="C229" s="71">
        <f>('Price Data'!C228-'Price Data'!C227)/'Price Data'!C227</f>
        <v>-6.4340869368659384E-3</v>
      </c>
      <c r="D229" s="71">
        <f t="shared" si="12"/>
        <v>-1.7574692442882249E-3</v>
      </c>
      <c r="E229" s="71">
        <f t="shared" si="13"/>
        <v>-6.4340869368659384E-3</v>
      </c>
      <c r="F229" s="70">
        <f t="shared" si="14"/>
        <v>1.130770990661852E-5</v>
      </c>
      <c r="G229" s="70">
        <f t="shared" si="15"/>
        <v>4.1397474711148913E-5</v>
      </c>
    </row>
    <row r="230" spans="1:7" x14ac:dyDescent="0.3">
      <c r="A230" s="72">
        <v>46239</v>
      </c>
      <c r="B230" s="71">
        <f>('Price Data'!B229-'Price Data'!B228)/'Price Data'!B228</f>
        <v>-3.5211267605633804E-3</v>
      </c>
      <c r="C230" s="71">
        <f>('Price Data'!C229-'Price Data'!C228)/'Price Data'!C228</f>
        <v>3.9610154824923111E-4</v>
      </c>
      <c r="D230" s="71">
        <f t="shared" si="12"/>
        <v>-3.5211267605633804E-3</v>
      </c>
      <c r="E230" s="71">
        <f t="shared" si="13"/>
        <v>3.9610154824923111E-4</v>
      </c>
      <c r="F230" s="70">
        <f t="shared" si="14"/>
        <v>-1.3947237614409546E-6</v>
      </c>
      <c r="G230" s="70">
        <f t="shared" si="15"/>
        <v>1.5689643652543796E-7</v>
      </c>
    </row>
    <row r="231" spans="1:7" x14ac:dyDescent="0.3">
      <c r="A231" s="72">
        <v>46240</v>
      </c>
      <c r="B231" s="71">
        <f>('Price Data'!B230-'Price Data'!B229)/'Price Data'!B229</f>
        <v>-7.9505300353356883E-3</v>
      </c>
      <c r="C231" s="71">
        <f>('Price Data'!C230-'Price Data'!C229)/'Price Data'!C229</f>
        <v>4.6092025673455438E-4</v>
      </c>
      <c r="D231" s="71">
        <f t="shared" si="12"/>
        <v>-7.9505300353356883E-3</v>
      </c>
      <c r="E231" s="71">
        <f t="shared" si="13"/>
        <v>4.6092025673455438E-4</v>
      </c>
      <c r="F231" s="70">
        <f t="shared" si="14"/>
        <v>-3.664560345062711E-6</v>
      </c>
      <c r="G231" s="70">
        <f t="shared" si="15"/>
        <v>2.1244748306824751E-7</v>
      </c>
    </row>
    <row r="232" spans="1:7" x14ac:dyDescent="0.3">
      <c r="A232" s="72">
        <v>46241</v>
      </c>
      <c r="B232" s="71">
        <f>('Price Data'!B231-'Price Data'!B230)/'Price Data'!B230</f>
        <v>5.1647373107746699E-3</v>
      </c>
      <c r="C232" s="71">
        <f>('Price Data'!C231-'Price Data'!C230)/'Price Data'!C230</f>
        <v>-2.6526221789250912E-3</v>
      </c>
      <c r="D232" s="71">
        <f t="shared" si="12"/>
        <v>5.1647373107746699E-3</v>
      </c>
      <c r="E232" s="71">
        <f t="shared" si="13"/>
        <v>-2.6526221789250912E-3</v>
      </c>
      <c r="F232" s="70">
        <f t="shared" si="14"/>
        <v>-1.370009673888282E-5</v>
      </c>
      <c r="G232" s="70">
        <f t="shared" si="15"/>
        <v>7.0364044241252982E-6</v>
      </c>
    </row>
    <row r="233" spans="1:7" x14ac:dyDescent="0.3">
      <c r="A233" s="72">
        <v>46244</v>
      </c>
      <c r="B233" s="71">
        <f>('Price Data'!B232-'Price Data'!B231)/'Price Data'!B231</f>
        <v>2.4096385542168718E-2</v>
      </c>
      <c r="C233" s="71">
        <f>('Price Data'!C232-'Price Data'!C231)/'Price Data'!C231</f>
        <v>5.3519137670341712E-4</v>
      </c>
      <c r="D233" s="71">
        <f t="shared" si="12"/>
        <v>2.4096385542168718E-2</v>
      </c>
      <c r="E233" s="71">
        <f t="shared" si="13"/>
        <v>5.3519137670341712E-4</v>
      </c>
      <c r="F233" s="70">
        <f t="shared" si="14"/>
        <v>1.2896177751889593E-5</v>
      </c>
      <c r="G233" s="70">
        <f t="shared" si="15"/>
        <v>2.8642980969769892E-7</v>
      </c>
    </row>
    <row r="234" spans="1:7" x14ac:dyDescent="0.3">
      <c r="A234" s="72">
        <v>46245</v>
      </c>
      <c r="B234" s="71">
        <f>('Price Data'!B233-'Price Data'!B232)/'Price Data'!B232</f>
        <v>-2.5951557093425604E-2</v>
      </c>
      <c r="C234" s="71">
        <f>('Price Data'!C233-'Price Data'!C232)/'Price Data'!C232</f>
        <v>-4.5599134389312694E-3</v>
      </c>
      <c r="D234" s="71">
        <f t="shared" si="12"/>
        <v>-2.5951557093425604E-2</v>
      </c>
      <c r="E234" s="71">
        <f t="shared" si="13"/>
        <v>-4.5599134389312694E-3</v>
      </c>
      <c r="F234" s="70">
        <f t="shared" si="14"/>
        <v>1.1833685395150353E-4</v>
      </c>
      <c r="G234" s="70">
        <f t="shared" si="15"/>
        <v>2.0792810570545997E-5</v>
      </c>
    </row>
    <row r="235" spans="1:7" x14ac:dyDescent="0.3">
      <c r="A235" s="72">
        <v>46246</v>
      </c>
      <c r="B235" s="71">
        <f>('Price Data'!B234-'Price Data'!B233)/'Price Data'!B233</f>
        <v>-7.5488454706927176E-3</v>
      </c>
      <c r="C235" s="71">
        <f>('Price Data'!C234-'Price Data'!C233)/'Price Data'!C233</f>
        <v>-1.4608711286915089E-3</v>
      </c>
      <c r="D235" s="71">
        <f t="shared" si="12"/>
        <v>-7.5488454706927176E-3</v>
      </c>
      <c r="E235" s="71">
        <f t="shared" si="13"/>
        <v>-1.4608711286915089E-3</v>
      </c>
      <c r="F235" s="70">
        <f t="shared" si="14"/>
        <v>1.1027890403088655E-5</v>
      </c>
      <c r="G235" s="70">
        <f t="shared" si="15"/>
        <v>2.1341444546444033E-6</v>
      </c>
    </row>
    <row r="236" spans="1:7" x14ac:dyDescent="0.3">
      <c r="A236" s="72">
        <v>46247</v>
      </c>
      <c r="B236" s="71">
        <f>('Price Data'!B235-'Price Data'!B234)/'Price Data'!B234</f>
        <v>-2.6845637583888549E-4</v>
      </c>
      <c r="C236" s="71">
        <f>('Price Data'!C235-'Price Data'!C234)/'Price Data'!C234</f>
        <v>-1.6410248015731814E-3</v>
      </c>
      <c r="D236" s="71">
        <f t="shared" si="12"/>
        <v>-2.6845637583888549E-4</v>
      </c>
      <c r="E236" s="71">
        <f t="shared" si="13"/>
        <v>-1.6410248015731814E-3</v>
      </c>
      <c r="F236" s="70">
        <f t="shared" si="14"/>
        <v>4.4054357089206247E-7</v>
      </c>
      <c r="G236" s="70">
        <f t="shared" si="15"/>
        <v>2.6929623993782993E-6</v>
      </c>
    </row>
    <row r="237" spans="1:7" x14ac:dyDescent="0.3">
      <c r="A237" s="72">
        <v>46248</v>
      </c>
      <c r="B237" s="71">
        <f>('Price Data'!B236-'Price Data'!B235)/'Price Data'!B235</f>
        <v>2.5062656641603601E-3</v>
      </c>
      <c r="C237" s="71">
        <f>('Price Data'!C236-'Price Data'!C235)/'Price Data'!C235</f>
        <v>-1.2235687627198293E-3</v>
      </c>
      <c r="D237" s="71">
        <f t="shared" si="12"/>
        <v>2.5062656641603601E-3</v>
      </c>
      <c r="E237" s="71">
        <f t="shared" si="13"/>
        <v>-1.2235687627198293E-3</v>
      </c>
      <c r="F237" s="70">
        <f t="shared" si="14"/>
        <v>-3.066588377743883E-6</v>
      </c>
      <c r="G237" s="70">
        <f t="shared" si="15"/>
        <v>1.497120517103734E-6</v>
      </c>
    </row>
    <row r="238" spans="1:7" x14ac:dyDescent="0.3">
      <c r="A238" s="72">
        <v>46251</v>
      </c>
      <c r="B238" s="71">
        <f>('Price Data'!B237-'Price Data'!B236)/'Price Data'!B236</f>
        <v>-8.0357142857142849E-3</v>
      </c>
      <c r="C238" s="71">
        <f>('Price Data'!C237-'Price Data'!C236)/'Price Data'!C236</f>
        <v>-3.2155462529753977E-3</v>
      </c>
      <c r="D238" s="71">
        <f t="shared" si="12"/>
        <v>-8.0357142857142849E-3</v>
      </c>
      <c r="E238" s="71">
        <f t="shared" si="13"/>
        <v>-3.2155462529753977E-3</v>
      </c>
      <c r="F238" s="70">
        <f t="shared" si="14"/>
        <v>2.5839210961409445E-5</v>
      </c>
      <c r="G238" s="70">
        <f t="shared" si="15"/>
        <v>1.0339737705024121E-5</v>
      </c>
    </row>
    <row r="239" spans="1:7" x14ac:dyDescent="0.3">
      <c r="A239" s="72">
        <v>46252</v>
      </c>
      <c r="B239" s="71">
        <f>('Price Data'!B238-'Price Data'!B237)/'Price Data'!B237</f>
        <v>-1.3321332133213281E-2</v>
      </c>
      <c r="C239" s="71">
        <f>('Price Data'!C238-'Price Data'!C237)/'Price Data'!C237</f>
        <v>-5.465740818893553E-3</v>
      </c>
      <c r="D239" s="71">
        <f t="shared" si="12"/>
        <v>-1.3321332133213281E-2</v>
      </c>
      <c r="E239" s="71">
        <f t="shared" si="13"/>
        <v>-5.465740818893553E-3</v>
      </c>
      <c r="F239" s="70">
        <f t="shared" si="14"/>
        <v>7.2810948802542151E-5</v>
      </c>
      <c r="G239" s="70">
        <f t="shared" si="15"/>
        <v>2.9874322699319166E-5</v>
      </c>
    </row>
    <row r="240" spans="1:7" x14ac:dyDescent="0.3">
      <c r="A240" s="72">
        <v>46253</v>
      </c>
      <c r="B240" s="71">
        <f>('Price Data'!B239-'Price Data'!B238)/'Price Data'!B238</f>
        <v>-7.5716110198868402E-3</v>
      </c>
      <c r="C240" s="71">
        <f>('Price Data'!C239-'Price Data'!C238)/'Price Data'!C238</f>
        <v>-3.1711992183781419E-3</v>
      </c>
      <c r="D240" s="71">
        <f t="shared" si="12"/>
        <v>-7.5716110198868402E-3</v>
      </c>
      <c r="E240" s="71">
        <f t="shared" si="13"/>
        <v>-3.1711992183781419E-3</v>
      </c>
      <c r="F240" s="70">
        <f t="shared" si="14"/>
        <v>2.4011086948128474E-5</v>
      </c>
      <c r="G240" s="70">
        <f t="shared" si="15"/>
        <v>1.0056504482642138E-5</v>
      </c>
    </row>
    <row r="241" spans="1:7" x14ac:dyDescent="0.3">
      <c r="A241" s="72">
        <v>46254</v>
      </c>
      <c r="B241" s="71">
        <f>('Price Data'!B240-'Price Data'!B239)/'Price Data'!B239</f>
        <v>-3.5848883169409787E-3</v>
      </c>
      <c r="C241" s="71">
        <f>('Price Data'!C240-'Price Data'!C239)/'Price Data'!C239</f>
        <v>6.377111340916895E-3</v>
      </c>
      <c r="D241" s="71">
        <f t="shared" si="12"/>
        <v>-3.5848883169409787E-3</v>
      </c>
      <c r="E241" s="71">
        <f t="shared" si="13"/>
        <v>6.377111340916895E-3</v>
      </c>
      <c r="F241" s="70">
        <f t="shared" si="14"/>
        <v>-2.2861231941884797E-5</v>
      </c>
      <c r="G241" s="70">
        <f t="shared" si="15"/>
        <v>4.066754905445088E-5</v>
      </c>
    </row>
    <row r="242" spans="1:7" x14ac:dyDescent="0.3">
      <c r="A242" s="72">
        <v>46255</v>
      </c>
      <c r="B242" s="71">
        <f>('Price Data'!B241-'Price Data'!B240)/'Price Data'!B240</f>
        <v>5.4428044280443646E-3</v>
      </c>
      <c r="C242" s="71">
        <f>('Price Data'!C241-'Price Data'!C240)/'Price Data'!C240</f>
        <v>8.3155021180807316E-4</v>
      </c>
      <c r="D242" s="71">
        <f t="shared" si="12"/>
        <v>5.4428044280443646E-3</v>
      </c>
      <c r="E242" s="71">
        <f t="shared" si="13"/>
        <v>8.3155021180807316E-4</v>
      </c>
      <c r="F242" s="70">
        <f t="shared" si="14"/>
        <v>4.5259651749702098E-6</v>
      </c>
      <c r="G242" s="70">
        <f t="shared" si="15"/>
        <v>6.9147575475805129E-7</v>
      </c>
    </row>
    <row r="243" spans="1:7" x14ac:dyDescent="0.3">
      <c r="A243" s="72">
        <v>46258</v>
      </c>
      <c r="B243" s="71">
        <f>('Price Data'!B242-'Price Data'!B241)/'Price Data'!B241</f>
        <v>-4.5875768419121016E-4</v>
      </c>
      <c r="C243" s="71">
        <f>('Price Data'!C242-'Price Data'!C241)/'Price Data'!C241</f>
        <v>-1.3586508329210263E-3</v>
      </c>
      <c r="D243" s="71">
        <f t="shared" si="12"/>
        <v>-4.5875768419121016E-4</v>
      </c>
      <c r="E243" s="71">
        <f t="shared" si="13"/>
        <v>-1.3586508329210263E-3</v>
      </c>
      <c r="F243" s="70">
        <f t="shared" si="14"/>
        <v>6.2329150973530881E-7</v>
      </c>
      <c r="G243" s="70">
        <f t="shared" si="15"/>
        <v>1.8459320857969985E-6</v>
      </c>
    </row>
    <row r="244" spans="1:7" x14ac:dyDescent="0.3">
      <c r="A244" s="72">
        <v>46259</v>
      </c>
      <c r="B244" s="71">
        <f>('Price Data'!B243-'Price Data'!B242)/'Price Data'!B242</f>
        <v>6.7927299430878127E-3</v>
      </c>
      <c r="C244" s="71">
        <f>('Price Data'!C243-'Price Data'!C242)/'Price Data'!C242</f>
        <v>4.7689731843321686E-3</v>
      </c>
      <c r="D244" s="71">
        <f t="shared" si="12"/>
        <v>6.7927299430878127E-3</v>
      </c>
      <c r="E244" s="71">
        <f t="shared" si="13"/>
        <v>4.7689731843321686E-3</v>
      </c>
      <c r="F244" s="70">
        <f t="shared" si="14"/>
        <v>3.2394346946995956E-5</v>
      </c>
      <c r="G244" s="70">
        <f t="shared" si="15"/>
        <v>2.2743105232879304E-5</v>
      </c>
    </row>
    <row r="245" spans="1:7" x14ac:dyDescent="0.3">
      <c r="A245" s="72">
        <v>46260</v>
      </c>
      <c r="B245" s="71">
        <f>('Price Data'!B244-'Price Data'!B243)/'Price Data'!B243</f>
        <v>-8.9350838803792434E-3</v>
      </c>
      <c r="C245" s="71">
        <f>('Price Data'!C244-'Price Data'!C243)/'Price Data'!C243</f>
        <v>-5.2106983691911002E-3</v>
      </c>
      <c r="D245" s="71">
        <f t="shared" si="12"/>
        <v>-8.9350838803792434E-3</v>
      </c>
      <c r="E245" s="71">
        <f t="shared" si="13"/>
        <v>-5.2106983691911002E-3</v>
      </c>
      <c r="F245" s="70">
        <f t="shared" si="14"/>
        <v>4.6558027004077811E-5</v>
      </c>
      <c r="G245" s="70">
        <f t="shared" si="15"/>
        <v>2.7151377494690791E-5</v>
      </c>
    </row>
    <row r="246" spans="1:7" x14ac:dyDescent="0.3">
      <c r="A246" s="72">
        <v>46261</v>
      </c>
      <c r="B246" s="71">
        <f>('Price Data'!B245-'Price Data'!B244)/'Price Data'!B244</f>
        <v>-2.5758969641213932E-3</v>
      </c>
      <c r="C246" s="71">
        <f>('Price Data'!C245-'Price Data'!C244)/'Price Data'!C244</f>
        <v>-4.8290320248681289E-3</v>
      </c>
      <c r="D246" s="71">
        <f t="shared" si="12"/>
        <v>-2.5758969641213932E-3</v>
      </c>
      <c r="E246" s="71">
        <f t="shared" si="13"/>
        <v>-4.8290320248681289E-3</v>
      </c>
      <c r="F246" s="70">
        <f t="shared" si="14"/>
        <v>1.2439088932502798E-5</v>
      </c>
      <c r="G246" s="70">
        <f t="shared" si="15"/>
        <v>2.331955029720198E-5</v>
      </c>
    </row>
    <row r="247" spans="1:7" x14ac:dyDescent="0.3">
      <c r="A247" s="72">
        <v>46262</v>
      </c>
      <c r="B247" s="71">
        <f>('Price Data'!B246-'Price Data'!B245)/'Price Data'!B245</f>
        <v>-1.254381110496231E-2</v>
      </c>
      <c r="C247" s="71">
        <f>('Price Data'!C246-'Price Data'!C245)/'Price Data'!C245</f>
        <v>3.5200086339835629E-3</v>
      </c>
      <c r="D247" s="71">
        <f t="shared" si="12"/>
        <v>-1.254381110496231E-2</v>
      </c>
      <c r="E247" s="71">
        <f t="shared" si="13"/>
        <v>3.5200086339835629E-3</v>
      </c>
      <c r="F247" s="70">
        <f t="shared" si="14"/>
        <v>-4.415432339252623E-5</v>
      </c>
      <c r="G247" s="70">
        <f t="shared" si="15"/>
        <v>1.2390460783318829E-5</v>
      </c>
    </row>
    <row r="248" spans="1:7" x14ac:dyDescent="0.3">
      <c r="A248" s="72">
        <v>46265</v>
      </c>
      <c r="B248" s="71">
        <f>('Price Data'!B247-'Price Data'!B246)/'Price Data'!B246</f>
        <v>-2.7834858957593831E-2</v>
      </c>
      <c r="C248" s="71">
        <f>('Price Data'!C247-'Price Data'!C246)/'Price Data'!C246</f>
        <v>-3.9399147489312591E-3</v>
      </c>
      <c r="D248" s="71">
        <f t="shared" si="12"/>
        <v>-2.7834858957593831E-2</v>
      </c>
      <c r="E248" s="71">
        <f t="shared" si="13"/>
        <v>-3.9399147489312591E-3</v>
      </c>
      <c r="F248" s="70">
        <f t="shared" si="14"/>
        <v>1.0966697134144531E-4</v>
      </c>
      <c r="G248" s="70">
        <f t="shared" si="15"/>
        <v>1.5522928228846066E-5</v>
      </c>
    </row>
    <row r="249" spans="1:7" x14ac:dyDescent="0.3">
      <c r="A249" s="72">
        <v>46266</v>
      </c>
      <c r="B249" s="71">
        <f>('Price Data'!B248-'Price Data'!B247)/'Price Data'!B247</f>
        <v>-4.6118370484242452E-3</v>
      </c>
      <c r="C249" s="71">
        <f>('Price Data'!C248-'Price Data'!C247)/'Price Data'!C247</f>
        <v>-1.0215777146559933E-3</v>
      </c>
      <c r="D249" s="71">
        <f t="shared" si="12"/>
        <v>-4.6118370484242452E-3</v>
      </c>
      <c r="E249" s="71">
        <f t="shared" si="13"/>
        <v>-1.0215777146559933E-3</v>
      </c>
      <c r="F249" s="70">
        <f t="shared" si="14"/>
        <v>4.7113499522950818E-6</v>
      </c>
      <c r="G249" s="70">
        <f t="shared" si="15"/>
        <v>1.0436210270817622E-6</v>
      </c>
    </row>
    <row r="250" spans="1:7" x14ac:dyDescent="0.3">
      <c r="A250" s="72">
        <v>46267</v>
      </c>
      <c r="B250" s="71">
        <f>('Price Data'!B249-'Price Data'!B248)/'Price Data'!B248</f>
        <v>4.2084942084941998E-2</v>
      </c>
      <c r="C250" s="71">
        <f>('Price Data'!C249-'Price Data'!C248)/'Price Data'!C248</f>
        <v>-5.8759218151131351E-3</v>
      </c>
      <c r="D250" s="71">
        <f t="shared" si="12"/>
        <v>4.2084942084941998E-2</v>
      </c>
      <c r="E250" s="71">
        <f t="shared" si="13"/>
        <v>-5.8759218151131351E-3</v>
      </c>
      <c r="F250" s="70">
        <f t="shared" si="14"/>
        <v>-2.4728782928468357E-4</v>
      </c>
      <c r="G250" s="70">
        <f t="shared" si="15"/>
        <v>3.4526457177322442E-5</v>
      </c>
    </row>
    <row r="251" spans="1:7" x14ac:dyDescent="0.3">
      <c r="A251" s="72">
        <v>46268</v>
      </c>
      <c r="B251" s="71">
        <f>('Price Data'!B250-'Price Data'!B249)/'Price Data'!B249</f>
        <v>-5.5576139310847448E-4</v>
      </c>
      <c r="C251" s="71">
        <f>('Price Data'!C250-'Price Data'!C249)/'Price Data'!C249</f>
        <v>-1.7144446140304292E-3</v>
      </c>
      <c r="D251" s="71">
        <f t="shared" si="12"/>
        <v>-5.5576139310847448E-4</v>
      </c>
      <c r="E251" s="71">
        <f t="shared" si="13"/>
        <v>-1.7144446140304292E-3</v>
      </c>
      <c r="F251" s="70">
        <f t="shared" si="14"/>
        <v>9.5282212710087222E-7</v>
      </c>
      <c r="G251" s="70">
        <f t="shared" si="15"/>
        <v>2.9393203345779473E-6</v>
      </c>
    </row>
    <row r="252" spans="1:7" x14ac:dyDescent="0.3">
      <c r="A252" s="72">
        <v>46269</v>
      </c>
      <c r="B252" s="71">
        <f>('Price Data'!B251-'Price Data'!B250)/'Price Data'!B250</f>
        <v>6.4874884151996796E-4</v>
      </c>
      <c r="C252" s="71">
        <f>('Price Data'!C251-'Price Data'!C250)/'Price Data'!C250</f>
        <v>1.0157727517388563E-3</v>
      </c>
      <c r="D252" s="71">
        <f t="shared" si="12"/>
        <v>6.4874884151996796E-4</v>
      </c>
      <c r="E252" s="71">
        <f t="shared" si="13"/>
        <v>1.0157727517388563E-3</v>
      </c>
      <c r="F252" s="70">
        <f t="shared" si="14"/>
        <v>6.5898139593813305E-7</v>
      </c>
      <c r="G252" s="70">
        <f t="shared" si="15"/>
        <v>1.0317942831751282E-6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CFA1-D5F9-40F6-B0F2-C76083D1B3CE}">
  <dimension ref="A1:C27"/>
  <sheetViews>
    <sheetView showGridLines="0" zoomScaleNormal="100" workbookViewId="0">
      <selection activeCell="C6" sqref="C6"/>
    </sheetView>
  </sheetViews>
  <sheetFormatPr defaultColWidth="8.6640625" defaultRowHeight="14.4" x14ac:dyDescent="0.3"/>
  <cols>
    <col min="1" max="1" width="10.77734375" customWidth="1"/>
    <col min="2" max="2" width="40.33203125" bestFit="1" customWidth="1"/>
    <col min="3" max="3" width="9.5546875" bestFit="1" customWidth="1"/>
  </cols>
  <sheetData>
    <row r="1" spans="1:3" ht="17.399999999999999" x14ac:dyDescent="0.3">
      <c r="A1" s="80" t="s">
        <v>106</v>
      </c>
      <c r="B1" s="75"/>
      <c r="C1" s="75"/>
    </row>
    <row r="2" spans="1:3" x14ac:dyDescent="0.3">
      <c r="A2" s="74"/>
      <c r="B2" s="74"/>
      <c r="C2" s="74"/>
    </row>
    <row r="3" spans="1:3" ht="15.6" x14ac:dyDescent="0.3">
      <c r="B3" s="79" t="s">
        <v>105</v>
      </c>
      <c r="C3" s="78"/>
    </row>
    <row r="4" spans="1:3" x14ac:dyDescent="0.3">
      <c r="B4" s="77" t="s">
        <v>110</v>
      </c>
      <c r="C4" s="70">
        <f>COVAR('Returns &amp; Deviations'!B7:B252,'Returns &amp; Deviations'!C7:C252)</f>
        <v>6.2822832041565545E-5</v>
      </c>
    </row>
    <row r="5" spans="1:3" x14ac:dyDescent="0.3">
      <c r="B5" s="77" t="s">
        <v>104</v>
      </c>
      <c r="C5" s="70">
        <f>VARP('Returns &amp; Deviations'!C7:C252)</f>
        <v>6.9735797607550437E-5</v>
      </c>
    </row>
    <row r="6" spans="1:3" x14ac:dyDescent="0.3">
      <c r="B6" s="38" t="s">
        <v>103</v>
      </c>
      <c r="C6" s="76">
        <f>C4/C5</f>
        <v>0.90086919769830798</v>
      </c>
    </row>
    <row r="23" customFormat="1" ht="42" customHeight="1" x14ac:dyDescent="0.3"/>
    <row r="24" customFormat="1" ht="42" customHeight="1" x14ac:dyDescent="0.3"/>
    <row r="25" customFormat="1" ht="42" customHeight="1" x14ac:dyDescent="0.3"/>
    <row r="26" customFormat="1" ht="42" customHeight="1" x14ac:dyDescent="0.3"/>
    <row r="27" customFormat="1" ht="42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75BD-58C2-405F-947B-4DE9F97B7687}">
  <dimension ref="B2:F20"/>
  <sheetViews>
    <sheetView showGridLines="0" zoomScaleNormal="100" workbookViewId="0">
      <selection activeCell="F14" sqref="F14"/>
    </sheetView>
  </sheetViews>
  <sheetFormatPr defaultColWidth="8.6640625" defaultRowHeight="14.4" x14ac:dyDescent="0.3"/>
  <cols>
    <col min="1" max="1" width="3" customWidth="1"/>
    <col min="2" max="2" width="35.77734375" bestFit="1" customWidth="1"/>
    <col min="3" max="3" width="14.77734375" bestFit="1" customWidth="1"/>
    <col min="4" max="4" width="16" customWidth="1"/>
    <col min="5" max="5" width="3" customWidth="1"/>
    <col min="6" max="6" width="60" customWidth="1"/>
  </cols>
  <sheetData>
    <row r="2" spans="2:6" ht="25.5" customHeight="1" x14ac:dyDescent="0.3">
      <c r="B2" s="87" t="s">
        <v>73</v>
      </c>
      <c r="C2" s="87"/>
      <c r="D2" s="87"/>
      <c r="E2" s="87"/>
      <c r="F2" s="87"/>
    </row>
    <row r="4" spans="2:6" ht="19.5" customHeight="1" x14ac:dyDescent="0.3">
      <c r="B4" s="44" t="s">
        <v>58</v>
      </c>
      <c r="C4" s="44" t="s">
        <v>57</v>
      </c>
    </row>
    <row r="5" spans="2:6" ht="27.75" customHeight="1" x14ac:dyDescent="0.3">
      <c r="B5" s="38" t="s">
        <v>56</v>
      </c>
      <c r="C5" s="39">
        <v>6.8000000000000005E-2</v>
      </c>
    </row>
    <row r="6" spans="2:6" ht="42" customHeight="1" x14ac:dyDescent="0.3">
      <c r="B6" s="38" t="s">
        <v>55</v>
      </c>
      <c r="C6" s="43">
        <v>0.9</v>
      </c>
    </row>
    <row r="7" spans="2:6" ht="27.75" customHeight="1" x14ac:dyDescent="0.3">
      <c r="B7" s="38" t="s">
        <v>54</v>
      </c>
      <c r="C7" s="39">
        <v>6.5000000000000002E-2</v>
      </c>
    </row>
    <row r="8" spans="2:6" x14ac:dyDescent="0.3">
      <c r="B8" s="41" t="s">
        <v>53</v>
      </c>
      <c r="C8" s="40">
        <f>C5+C6*C7</f>
        <v>0.1265</v>
      </c>
    </row>
    <row r="10" spans="2:6" ht="42" customHeight="1" x14ac:dyDescent="0.3">
      <c r="B10" s="38" t="s">
        <v>52</v>
      </c>
      <c r="C10" s="42">
        <v>8.3000000000000004E-2</v>
      </c>
    </row>
    <row r="11" spans="2:6" x14ac:dyDescent="0.3">
      <c r="B11" s="38" t="s">
        <v>51</v>
      </c>
      <c r="C11" s="39">
        <v>0.25</v>
      </c>
    </row>
    <row r="12" spans="2:6" x14ac:dyDescent="0.3">
      <c r="B12" s="41" t="s">
        <v>50</v>
      </c>
      <c r="C12" s="40">
        <f>C10*(1-C11)</f>
        <v>6.225E-2</v>
      </c>
    </row>
    <row r="14" spans="2:6" ht="54.75" customHeight="1" x14ac:dyDescent="0.3">
      <c r="B14" s="38" t="s">
        <v>49</v>
      </c>
      <c r="C14" s="39">
        <v>0.5</v>
      </c>
    </row>
    <row r="15" spans="2:6" x14ac:dyDescent="0.3">
      <c r="B15" s="38" t="s">
        <v>48</v>
      </c>
      <c r="C15" s="37">
        <f>1-C14</f>
        <v>0.5</v>
      </c>
    </row>
    <row r="17" spans="2:6" x14ac:dyDescent="0.3">
      <c r="B17" s="36" t="s">
        <v>47</v>
      </c>
      <c r="C17" s="35">
        <f>C14*C8+C15*C12</f>
        <v>9.4375000000000001E-2</v>
      </c>
    </row>
    <row r="19" spans="2:6" x14ac:dyDescent="0.3">
      <c r="B19" s="34"/>
    </row>
    <row r="20" spans="2:6" ht="45" customHeight="1" x14ac:dyDescent="0.3">
      <c r="B20" s="89"/>
      <c r="C20" s="89"/>
      <c r="D20" s="89"/>
      <c r="E20" s="89"/>
      <c r="F20" s="89"/>
    </row>
  </sheetData>
  <mergeCells count="2">
    <mergeCell ref="B2:F2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2"/>
  <sheetViews>
    <sheetView showGridLines="0" zoomScaleNormal="100" workbookViewId="0">
      <selection activeCell="C23" sqref="C23"/>
    </sheetView>
  </sheetViews>
  <sheetFormatPr defaultColWidth="8.6640625" defaultRowHeight="14.4" x14ac:dyDescent="0.3"/>
  <cols>
    <col min="1" max="1" width="3" style="9" customWidth="1"/>
    <col min="2" max="2" width="43.6640625" style="9" bestFit="1" customWidth="1"/>
    <col min="3" max="3" width="8.6640625" style="9"/>
    <col min="4" max="8" width="15.77734375" style="9" customWidth="1"/>
    <col min="9" max="9" width="3" style="9" customWidth="1"/>
    <col min="10" max="10" width="67.21875" style="9" bestFit="1" customWidth="1"/>
    <col min="11" max="16384" width="8.6640625" style="9"/>
  </cols>
  <sheetData>
    <row r="2" spans="2:10" ht="25.5" customHeight="1" x14ac:dyDescent="0.3">
      <c r="B2" s="85" t="s">
        <v>19</v>
      </c>
      <c r="C2" s="85"/>
      <c r="D2" s="85"/>
      <c r="E2" s="85"/>
      <c r="F2" s="85"/>
      <c r="G2" s="85"/>
      <c r="H2" s="85"/>
      <c r="I2" s="85"/>
      <c r="J2" s="85"/>
    </row>
    <row r="4" spans="2:10" ht="19.5" customHeight="1" x14ac:dyDescent="0.3">
      <c r="B4" s="25" t="s">
        <v>2</v>
      </c>
      <c r="D4" s="25" t="s">
        <v>4</v>
      </c>
      <c r="E4" s="25" t="s">
        <v>5</v>
      </c>
      <c r="F4" s="25" t="s">
        <v>6</v>
      </c>
      <c r="G4" s="25" t="s">
        <v>7</v>
      </c>
      <c r="H4" s="25" t="s">
        <v>8</v>
      </c>
      <c r="J4" s="44" t="s">
        <v>75</v>
      </c>
    </row>
    <row r="5" spans="2:10" x14ac:dyDescent="0.3">
      <c r="B5" s="11" t="s">
        <v>20</v>
      </c>
      <c r="D5" s="13">
        <f>'Revenue Build'!D8</f>
        <v>23237.660361842103</v>
      </c>
      <c r="E5" s="13">
        <f>'Revenue Build'!E8</f>
        <v>27900.736019736843</v>
      </c>
      <c r="F5" s="13">
        <f>'Revenue Build'!F8</f>
        <v>34312.465049342107</v>
      </c>
      <c r="G5" s="13">
        <f>'Revenue Build'!G8</f>
        <v>42511.706414473694</v>
      </c>
      <c r="H5" s="13">
        <f>'Revenue Build'!H8</f>
        <v>48185.115131578954</v>
      </c>
      <c r="J5"/>
    </row>
    <row r="6" spans="2:10" x14ac:dyDescent="0.3">
      <c r="B6" s="14" t="s">
        <v>21</v>
      </c>
      <c r="D6" s="15">
        <f>'Revenue Build'!D7</f>
        <v>0.22944078947368407</v>
      </c>
      <c r="E6" s="15">
        <f>'Revenue Build'!E7</f>
        <v>0.20066889632107032</v>
      </c>
      <c r="F6" s="15">
        <f>'Revenue Build'!F7</f>
        <v>0.22980501392757668</v>
      </c>
      <c r="G6" s="15">
        <f>'Revenue Build'!G7</f>
        <v>0.23895809739524365</v>
      </c>
      <c r="H6" s="15">
        <f>'Revenue Build'!H7</f>
        <v>0.13345521023765983</v>
      </c>
      <c r="J6"/>
    </row>
    <row r="7" spans="2:10" ht="27.75" customHeight="1" x14ac:dyDescent="0.3">
      <c r="B7" s="10" t="s">
        <v>22</v>
      </c>
      <c r="D7" s="19">
        <v>0.48</v>
      </c>
      <c r="E7" s="19">
        <v>0.48</v>
      </c>
      <c r="F7" s="19">
        <v>0.48</v>
      </c>
      <c r="G7" s="19">
        <v>0.48</v>
      </c>
      <c r="H7" s="19">
        <v>0.48</v>
      </c>
      <c r="J7"/>
    </row>
    <row r="8" spans="2:10" x14ac:dyDescent="0.3">
      <c r="B8" s="11" t="s">
        <v>23</v>
      </c>
      <c r="D8" s="12">
        <f>D5*D7</f>
        <v>11154.076973684208</v>
      </c>
      <c r="E8" s="12">
        <f>E5*E7</f>
        <v>13392.353289473684</v>
      </c>
      <c r="F8" s="12">
        <f>F5*F7</f>
        <v>16469.983223684212</v>
      </c>
      <c r="G8" s="12">
        <f>G5*G7</f>
        <v>20405.619078947373</v>
      </c>
      <c r="H8" s="12">
        <f>H5*H7</f>
        <v>23128.855263157897</v>
      </c>
      <c r="J8"/>
    </row>
    <row r="9" spans="2:10" x14ac:dyDescent="0.3">
      <c r="B9" s="10" t="s">
        <v>24</v>
      </c>
      <c r="D9" s="16">
        <f>'Depreciation Schedule'!D8</f>
        <v>4599.4000000000005</v>
      </c>
      <c r="E9" s="16">
        <f>'Depreciation Schedule'!E8</f>
        <v>5369.43</v>
      </c>
      <c r="F9" s="16">
        <f>'Depreciation Schedule'!F8</f>
        <v>6113.6190166051665</v>
      </c>
      <c r="G9" s="16">
        <f>'Depreciation Schedule'!G8</f>
        <v>7580.0939698339489</v>
      </c>
      <c r="H9" s="16">
        <f>'Depreciation Schedule'!H8</f>
        <v>8990.1228506780444</v>
      </c>
      <c r="J9"/>
    </row>
    <row r="10" spans="2:10" x14ac:dyDescent="0.3">
      <c r="B10" s="11" t="s">
        <v>25</v>
      </c>
      <c r="D10" s="12">
        <f>D8-D9</f>
        <v>6554.676973684208</v>
      </c>
      <c r="E10" s="12">
        <f>E8-E9</f>
        <v>8022.9232894736833</v>
      </c>
      <c r="F10" s="12">
        <f>F8-F9</f>
        <v>10356.364207079045</v>
      </c>
      <c r="G10" s="12">
        <f>G8-G9</f>
        <v>12825.525109113423</v>
      </c>
      <c r="H10" s="12">
        <f>H8-H9</f>
        <v>14138.732412479852</v>
      </c>
      <c r="J10"/>
    </row>
    <row r="11" spans="2:10" ht="42" customHeight="1" x14ac:dyDescent="0.3">
      <c r="B11" s="10" t="s">
        <v>26</v>
      </c>
      <c r="D11" s="19">
        <v>0.25</v>
      </c>
      <c r="E11" s="19">
        <v>0.25</v>
      </c>
      <c r="F11" s="19">
        <v>0.25</v>
      </c>
      <c r="G11" s="19">
        <v>0.25</v>
      </c>
      <c r="H11" s="19">
        <v>0.25</v>
      </c>
      <c r="J11"/>
    </row>
    <row r="12" spans="2:10" x14ac:dyDescent="0.3">
      <c r="B12" s="10" t="s">
        <v>27</v>
      </c>
      <c r="D12" s="17">
        <f>D10*D11</f>
        <v>1638.669243421052</v>
      </c>
      <c r="E12" s="17">
        <f>E10*E11</f>
        <v>2005.7308223684208</v>
      </c>
      <c r="F12" s="17">
        <f>F10*F11</f>
        <v>2589.0910517697612</v>
      </c>
      <c r="G12" s="17">
        <f>G10*G11</f>
        <v>3206.3812772783558</v>
      </c>
      <c r="H12" s="17">
        <f>H10*H11</f>
        <v>3534.6831031199631</v>
      </c>
      <c r="J12"/>
    </row>
    <row r="13" spans="2:10" x14ac:dyDescent="0.3">
      <c r="B13" s="11" t="s">
        <v>28</v>
      </c>
      <c r="D13" s="12">
        <f>D10-D12</f>
        <v>4916.0077302631562</v>
      </c>
      <c r="E13" s="12">
        <f>E10-E12</f>
        <v>6017.192467105262</v>
      </c>
      <c r="F13" s="12">
        <f>F10-F12</f>
        <v>7767.2731553092835</v>
      </c>
      <c r="G13" s="12">
        <f>G10-G12</f>
        <v>9619.1438318350665</v>
      </c>
      <c r="H13" s="12">
        <f>H10-H12</f>
        <v>10604.049309359889</v>
      </c>
      <c r="J13"/>
    </row>
    <row r="14" spans="2:10" x14ac:dyDescent="0.3">
      <c r="B14" s="10" t="s">
        <v>29</v>
      </c>
      <c r="D14" s="17">
        <f>D9</f>
        <v>4599.4000000000005</v>
      </c>
      <c r="E14" s="17">
        <f>E9</f>
        <v>5369.43</v>
      </c>
      <c r="F14" s="17">
        <f>F9</f>
        <v>6113.6190166051665</v>
      </c>
      <c r="G14" s="17">
        <f>G9</f>
        <v>7580.0939698339489</v>
      </c>
      <c r="H14" s="17">
        <f>H9</f>
        <v>8990.1228506780444</v>
      </c>
      <c r="J14"/>
    </row>
    <row r="15" spans="2:10" x14ac:dyDescent="0.3">
      <c r="B15" s="10" t="s">
        <v>30</v>
      </c>
      <c r="D15" s="16">
        <f>'Depreciation Schedule'!D6</f>
        <v>20000</v>
      </c>
      <c r="E15" s="16">
        <f>'Depreciation Schedule'!E6</f>
        <v>20253.210332103321</v>
      </c>
      <c r="F15" s="16">
        <f>'Depreciation Schedule'!F6</f>
        <v>35443.118081180808</v>
      </c>
      <c r="G15" s="16">
        <f>'Depreciation Schedule'!G6</f>
        <v>35780.671586715871</v>
      </c>
      <c r="H15" s="16">
        <f>'Depreciation Schedule'!H6</f>
        <v>13471.54078549849</v>
      </c>
      <c r="J15"/>
    </row>
    <row r="16" spans="2:10" x14ac:dyDescent="0.3">
      <c r="B16" s="14" t="s">
        <v>31</v>
      </c>
      <c r="D16" s="18">
        <v>31</v>
      </c>
      <c r="E16" s="18">
        <v>31</v>
      </c>
      <c r="F16" s="18">
        <v>31</v>
      </c>
      <c r="G16" s="18">
        <v>31</v>
      </c>
      <c r="H16" s="18">
        <v>31</v>
      </c>
    </row>
    <row r="17" spans="2:10" x14ac:dyDescent="0.3">
      <c r="B17" s="14" t="s">
        <v>32</v>
      </c>
      <c r="D17" s="17">
        <f>D5-'Revenue Build'!C8</f>
        <v>4336.6603618421032</v>
      </c>
      <c r="E17" s="17">
        <f>E5-D5</f>
        <v>4663.0756578947403</v>
      </c>
      <c r="F17" s="17">
        <f>F5-E5</f>
        <v>6411.7290296052633</v>
      </c>
      <c r="G17" s="17">
        <f>G5-F5</f>
        <v>8199.2413651315874</v>
      </c>
      <c r="H17" s="17">
        <f>H5-G5</f>
        <v>5673.4087171052597</v>
      </c>
    </row>
    <row r="18" spans="2:10" ht="30" customHeight="1" x14ac:dyDescent="0.3">
      <c r="B18" s="10" t="s">
        <v>33</v>
      </c>
      <c r="D18" s="17">
        <f>D17*D16/365</f>
        <v>368.31909922494572</v>
      </c>
      <c r="E18" s="17">
        <f>E17*E16/365</f>
        <v>396.04204217736151</v>
      </c>
      <c r="F18" s="17">
        <f>F17*F16/365</f>
        <v>544.55780799387173</v>
      </c>
      <c r="G18" s="17">
        <f>G17*G16/365</f>
        <v>696.37392416186094</v>
      </c>
      <c r="H18" s="17">
        <f>H17*H16/365</f>
        <v>481.8511513157892</v>
      </c>
      <c r="J18" s="56" t="s">
        <v>74</v>
      </c>
    </row>
    <row r="20" spans="2:10" ht="21.75" customHeight="1" x14ac:dyDescent="0.3">
      <c r="B20" s="32" t="s">
        <v>34</v>
      </c>
      <c r="D20" s="33">
        <f>D13+D14-D15-D18</f>
        <v>-10852.91136896179</v>
      </c>
      <c r="E20" s="33">
        <f>E13+E14-E15-E18</f>
        <v>-9262.6299071754202</v>
      </c>
      <c r="F20" s="33">
        <f>F13+F14-F15-F18</f>
        <v>-22106.78371726023</v>
      </c>
      <c r="G20" s="33">
        <f>G13+G14-G15-G18</f>
        <v>-19277.807709208715</v>
      </c>
      <c r="H20" s="33">
        <f>H13+H14-H15-H18</f>
        <v>5640.7802232236527</v>
      </c>
    </row>
    <row r="22" spans="2:10" x14ac:dyDescent="0.3">
      <c r="D22" s="28"/>
    </row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BE5F-F84B-46D0-954F-A4E1E6CC2AAA}">
  <dimension ref="B2:I30"/>
  <sheetViews>
    <sheetView showGridLines="0" zoomScale="82" zoomScaleNormal="100" workbookViewId="0">
      <selection activeCell="B30" sqref="B30:G30"/>
    </sheetView>
  </sheetViews>
  <sheetFormatPr defaultColWidth="8.6640625" defaultRowHeight="14.4" x14ac:dyDescent="0.3"/>
  <cols>
    <col min="1" max="1" width="3" customWidth="1"/>
    <col min="2" max="2" width="34" customWidth="1"/>
    <col min="3" max="7" width="13" customWidth="1"/>
    <col min="8" max="8" width="3" customWidth="1"/>
    <col min="9" max="9" width="55" customWidth="1"/>
  </cols>
  <sheetData>
    <row r="2" spans="2:9" ht="25.5" customHeight="1" x14ac:dyDescent="0.3">
      <c r="B2" s="87" t="s">
        <v>72</v>
      </c>
      <c r="C2" s="87"/>
      <c r="D2" s="87"/>
      <c r="E2" s="87"/>
      <c r="F2" s="87"/>
      <c r="G2" s="87"/>
      <c r="H2" s="87"/>
      <c r="I2" s="87"/>
    </row>
    <row r="4" spans="2:9" ht="30" customHeight="1" x14ac:dyDescent="0.3">
      <c r="B4" s="38" t="s">
        <v>71</v>
      </c>
      <c r="C4" s="55">
        <f>'WACC Build'!C17</f>
        <v>9.4375000000000001E-2</v>
      </c>
    </row>
    <row r="5" spans="2:9" ht="54.75" customHeight="1" x14ac:dyDescent="0.3">
      <c r="B5" s="38" t="s">
        <v>70</v>
      </c>
      <c r="C5" s="42">
        <v>6.5000000000000002E-2</v>
      </c>
    </row>
    <row r="7" spans="2:9" ht="19.5" customHeight="1" x14ac:dyDescent="0.3">
      <c r="B7" s="44" t="s">
        <v>2</v>
      </c>
      <c r="C7" s="44" t="s">
        <v>4</v>
      </c>
      <c r="D7" s="44" t="s">
        <v>5</v>
      </c>
      <c r="E7" s="44" t="s">
        <v>6</v>
      </c>
      <c r="F7" s="44" t="s">
        <v>7</v>
      </c>
      <c r="G7" s="44" t="s">
        <v>8</v>
      </c>
    </row>
    <row r="8" spans="2:9" x14ac:dyDescent="0.3">
      <c r="B8" s="41" t="s">
        <v>69</v>
      </c>
      <c r="C8" s="54">
        <f>'FCFF Projection'!D20</f>
        <v>-10852.91136896179</v>
      </c>
      <c r="D8" s="54">
        <f>'FCFF Projection'!E20</f>
        <v>-9262.6299071754202</v>
      </c>
      <c r="E8" s="54">
        <f>'FCFF Projection'!F20</f>
        <v>-22106.78371726023</v>
      </c>
      <c r="F8" s="54">
        <f>'FCFF Projection'!G20</f>
        <v>-19277.807709208715</v>
      </c>
      <c r="G8" s="54">
        <f>'FCFF Projection'!H20</f>
        <v>5640.7802232236527</v>
      </c>
    </row>
    <row r="9" spans="2:9" x14ac:dyDescent="0.3">
      <c r="B9" s="38" t="s">
        <v>68</v>
      </c>
      <c r="C9" s="53">
        <f>1/(1+$C$4)^1</f>
        <v>0.91376356367789824</v>
      </c>
      <c r="D9" s="53">
        <f>1/(1+$C$4)^2</f>
        <v>0.83496385030533238</v>
      </c>
      <c r="E9" s="53">
        <f>1/(1+$C$4)^3</f>
        <v>0.76295954339721972</v>
      </c>
      <c r="F9" s="53">
        <f>1/(1+$C$4)^4</f>
        <v>0.69716463131670559</v>
      </c>
      <c r="G9" s="53">
        <f>1/(1+$C$4)^5</f>
        <v>0.63704363798214092</v>
      </c>
    </row>
    <row r="10" spans="2:9" x14ac:dyDescent="0.3">
      <c r="B10" s="41" t="s">
        <v>67</v>
      </c>
      <c r="C10" s="52">
        <f>C8*C9</f>
        <v>-9916.994968782903</v>
      </c>
      <c r="D10" s="52">
        <f>D8*D9</f>
        <v>-7733.9611312485122</v>
      </c>
      <c r="E10" s="52">
        <f>E8*E9</f>
        <v>-16866.581610901958</v>
      </c>
      <c r="F10" s="52">
        <f>F8*F9</f>
        <v>-13439.805704184839</v>
      </c>
      <c r="G10" s="52">
        <f>G8*G9</f>
        <v>3593.4231544601084</v>
      </c>
    </row>
    <row r="12" spans="2:9" x14ac:dyDescent="0.3">
      <c r="B12" s="38" t="s">
        <v>66</v>
      </c>
      <c r="C12" s="51">
        <f>SUM(C10:G10)</f>
        <v>-44363.920260658102</v>
      </c>
    </row>
    <row r="13" spans="2:9" x14ac:dyDescent="0.3">
      <c r="B13" s="38" t="s">
        <v>65</v>
      </c>
      <c r="C13" s="51">
        <f>G8*(1+$C$5)/($C$4-$C$5)</f>
        <v>204508.28724198096</v>
      </c>
    </row>
    <row r="14" spans="2:9" x14ac:dyDescent="0.3">
      <c r="B14" s="38" t="s">
        <v>64</v>
      </c>
      <c r="C14" s="51">
        <f>C13*G9</f>
        <v>130280.70330212821</v>
      </c>
    </row>
    <row r="15" spans="2:9" x14ac:dyDescent="0.3">
      <c r="B15" s="49" t="s">
        <v>63</v>
      </c>
      <c r="C15" s="48">
        <f>C12+C14</f>
        <v>85916.783041470102</v>
      </c>
    </row>
    <row r="16" spans="2:9" x14ac:dyDescent="0.3">
      <c r="B16" s="38" t="s">
        <v>62</v>
      </c>
      <c r="C16" s="50">
        <v>65567</v>
      </c>
    </row>
    <row r="17" spans="2:7" x14ac:dyDescent="0.3">
      <c r="B17" s="49" t="s">
        <v>61</v>
      </c>
      <c r="C17" s="48">
        <f>C15-C16</f>
        <v>20349.783041470102</v>
      </c>
    </row>
    <row r="18" spans="2:7" x14ac:dyDescent="0.3">
      <c r="B18" s="38" t="s">
        <v>60</v>
      </c>
      <c r="C18" s="47">
        <v>175.6</v>
      </c>
    </row>
    <row r="20" spans="2:7" ht="15.6" x14ac:dyDescent="0.3">
      <c r="B20" s="46" t="s">
        <v>59</v>
      </c>
      <c r="C20" s="45">
        <f>C17/C18</f>
        <v>115.88714716099147</v>
      </c>
    </row>
    <row r="30" spans="2:7" ht="39.75" customHeight="1" x14ac:dyDescent="0.3">
      <c r="B30" s="89"/>
      <c r="C30" s="89"/>
      <c r="D30" s="89"/>
      <c r="E30" s="89"/>
      <c r="F30" s="89"/>
      <c r="G30" s="89"/>
    </row>
  </sheetData>
  <mergeCells count="2">
    <mergeCell ref="B2:I2"/>
    <mergeCell ref="B30:G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 Build</vt:lpstr>
      <vt:lpstr>Capex Projection</vt:lpstr>
      <vt:lpstr>Depreciation Schedule</vt:lpstr>
      <vt:lpstr>Price Data</vt:lpstr>
      <vt:lpstr>Returns &amp; Deviations</vt:lpstr>
      <vt:lpstr>Beta Calculation</vt:lpstr>
      <vt:lpstr>WACC Build</vt:lpstr>
      <vt:lpstr>FCFF Projection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Akhil James</cp:lastModifiedBy>
  <cp:revision>0</cp:revision>
  <dcterms:created xsi:type="dcterms:W3CDTF">2026-09-06T05:47:40Z</dcterms:created>
  <dcterms:modified xsi:type="dcterms:W3CDTF">2026-09-07T11:59:53Z</dcterms:modified>
  <dc:language>en-US</dc:language>
</cp:coreProperties>
</file>